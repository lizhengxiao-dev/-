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<sst xmlns="http://schemas.openxmlformats.org/spreadsheetml/2006/main" count="2444" uniqueCount="1454">
  <si>
    <t>省份</t>
  </si>
  <si>
    <t>风险抵御</t>
  </si>
  <si>
    <t>规模恢复</t>
  </si>
  <si>
    <t>结构效率</t>
  </si>
  <si>
    <t>经济支撑</t>
  </si>
  <si>
    <t>不良贷款率</t>
  </si>
  <si>
    <t>保险深度</t>
  </si>
  <si>
    <t>外贸依存度</t>
  </si>
  <si>
    <t>金融机构各项存款余额</t>
  </si>
  <si>
    <t>金融机构各项贷款余额</t>
  </si>
  <si>
    <t>社会融资规模增量</t>
  </si>
  <si>
    <t>上市公司数量</t>
  </si>
  <si>
    <t>数字普惠金融指数</t>
  </si>
  <si>
    <t>存贷比</t>
  </si>
  <si>
    <t>人均GDP</t>
  </si>
  <si>
    <t>第三产业占GDP比重</t>
  </si>
  <si>
    <t>金融科技专利授权量</t>
  </si>
  <si>
    <t>耦合协调度</t>
  </si>
  <si>
    <t>北京</t>
  </si>
  <si>
    <t>0.77000</t>
  </si>
  <si>
    <t>5.10000</t>
  </si>
  <si>
    <t>75001.90000</t>
  </si>
  <si>
    <t>39660.50000</t>
  </si>
  <si>
    <t>0.6480179767174005</t>
  </si>
  <si>
    <t>天津</t>
  </si>
  <si>
    <t>0.87000</t>
  </si>
  <si>
    <t>1.90000</t>
  </si>
  <si>
    <t>17586.91000</t>
  </si>
  <si>
    <t>15924.71000</t>
  </si>
  <si>
    <t>0.593845540821956</t>
  </si>
  <si>
    <t>河北</t>
  </si>
  <si>
    <t>0.84000</t>
  </si>
  <si>
    <t>3.02000</t>
  </si>
  <si>
    <t>29749.53000</t>
  </si>
  <si>
    <t>18460.60000</t>
  </si>
  <si>
    <t>0.7327822771045487</t>
  </si>
  <si>
    <t>山西</t>
  </si>
  <si>
    <t>1.45000</t>
  </si>
  <si>
    <t>3.30000</t>
  </si>
  <si>
    <t>21003.24000</t>
  </si>
  <si>
    <t>11265.56000</t>
  </si>
  <si>
    <t>0.5485250228496407</t>
  </si>
  <si>
    <t>内蒙古</t>
  </si>
  <si>
    <t>0.57000</t>
  </si>
  <si>
    <t>1.61000</t>
  </si>
  <si>
    <t>12063.72000</t>
  </si>
  <si>
    <t>9727.70000</t>
  </si>
  <si>
    <t>0.6780584739671169</t>
  </si>
  <si>
    <t>辽宁</t>
  </si>
  <si>
    <t>1.31000</t>
  </si>
  <si>
    <t>2.40000</t>
  </si>
  <si>
    <t>30832.00000</t>
  </si>
  <si>
    <t>22832.00000</t>
  </si>
  <si>
    <t>0.4396713642741658</t>
  </si>
  <si>
    <t>吉林</t>
  </si>
  <si>
    <t>0.94000</t>
  </si>
  <si>
    <t>2.00000</t>
  </si>
  <si>
    <t>10962.20000</t>
  </si>
  <si>
    <t>8240.90000</t>
  </si>
  <si>
    <t>0.541844946897308</t>
  </si>
  <si>
    <t>黑龙江</t>
  </si>
  <si>
    <t>1.17000</t>
  </si>
  <si>
    <t>3.00000</t>
  </si>
  <si>
    <t>14416.40000</t>
  </si>
  <si>
    <t>8761.10000</t>
  </si>
  <si>
    <t>0.39720394480792665</t>
  </si>
  <si>
    <t>上海</t>
  </si>
  <si>
    <t>0.61000</t>
  </si>
  <si>
    <t>4.02000</t>
  </si>
  <si>
    <t>58186.48000</t>
  </si>
  <si>
    <t>37196.79000</t>
  </si>
  <si>
    <t>0.8209325473580622</t>
  </si>
  <si>
    <t>江苏</t>
  </si>
  <si>
    <t>0.81000</t>
  </si>
  <si>
    <t>2.47000</t>
  </si>
  <si>
    <t>66215.12000</t>
  </si>
  <si>
    <t>49101.20000</t>
  </si>
  <si>
    <t>0.3534510134568108</t>
  </si>
  <si>
    <t>浙江</t>
  </si>
  <si>
    <t>0.91000</t>
  </si>
  <si>
    <t>2.75000</t>
  </si>
  <si>
    <t>60893.14000</t>
  </si>
  <si>
    <t>53239.34000</t>
  </si>
  <si>
    <t>0.491249985551762</t>
  </si>
  <si>
    <t>安徽</t>
  </si>
  <si>
    <t>2.86000</t>
  </si>
  <si>
    <t>19547.30000</t>
  </si>
  <si>
    <t>14164.40000</t>
  </si>
  <si>
    <t>0.48435727884372504</t>
  </si>
  <si>
    <t>福建</t>
  </si>
  <si>
    <t>0.64000</t>
  </si>
  <si>
    <t>2.48000</t>
  </si>
  <si>
    <t>21106.50000</t>
  </si>
  <si>
    <t>18982.82000</t>
  </si>
  <si>
    <t>0.6994695966073341</t>
  </si>
  <si>
    <t>江西</t>
  </si>
  <si>
    <t>1.03000</t>
  </si>
  <si>
    <t>2.20000</t>
  </si>
  <si>
    <t>14322.11000</t>
  </si>
  <si>
    <t>9301.95000</t>
  </si>
  <si>
    <t>0.30883127457650617</t>
  </si>
  <si>
    <t>山东</t>
  </si>
  <si>
    <t>1.01000</t>
  </si>
  <si>
    <t>2.30000</t>
  </si>
  <si>
    <t>46825.47000</t>
  </si>
  <si>
    <t>37301.76000</t>
  </si>
  <si>
    <t>0.5451830232888756</t>
  </si>
  <si>
    <t>河南</t>
  </si>
  <si>
    <t>1.10000</t>
  </si>
  <si>
    <t>3.10000</t>
  </si>
  <si>
    <t>26774.80000</t>
  </si>
  <si>
    <t>17648.90000</t>
  </si>
  <si>
    <t>0.6533298957535709</t>
  </si>
  <si>
    <t>湖北</t>
  </si>
  <si>
    <t>1.06000</t>
  </si>
  <si>
    <t>2.81000</t>
  </si>
  <si>
    <t>24090.55000</t>
  </si>
  <si>
    <t>16332.05000</t>
  </si>
  <si>
    <t>0.4935919179678385</t>
  </si>
  <si>
    <t>湖南</t>
  </si>
  <si>
    <t>1.12000</t>
  </si>
  <si>
    <t>2.44000</t>
  </si>
  <si>
    <t>19444.10000</t>
  </si>
  <si>
    <t>13462.50000</t>
  </si>
  <si>
    <t>0.5500368153128556</t>
  </si>
  <si>
    <t>广东</t>
  </si>
  <si>
    <t>1.16000</t>
  </si>
  <si>
    <t>91590.15000</t>
  </si>
  <si>
    <t>58615.27000</t>
  </si>
  <si>
    <t>0.2965672991291982</t>
  </si>
  <si>
    <t>广西</t>
  </si>
  <si>
    <t>1.80000</t>
  </si>
  <si>
    <t>13527.97000</t>
  </si>
  <si>
    <t>10646.43000</t>
  </si>
  <si>
    <t>0.5539407948776262</t>
  </si>
  <si>
    <t>海南</t>
  </si>
  <si>
    <t>0.78000</t>
  </si>
  <si>
    <t>2.14000</t>
  </si>
  <si>
    <t>4504.54000</t>
  </si>
  <si>
    <t>3194.59000</t>
  </si>
  <si>
    <t>0.5106575677488483</t>
  </si>
  <si>
    <t>重庆</t>
  </si>
  <si>
    <t>0.63000</t>
  </si>
  <si>
    <t>16128.87000</t>
  </si>
  <si>
    <t>13195.16000</t>
  </si>
  <si>
    <t>0.31731855765506156</t>
  </si>
  <si>
    <t>四川</t>
  </si>
  <si>
    <t>1.30000</t>
  </si>
  <si>
    <t>3.70000</t>
  </si>
  <si>
    <t>34971.21000</t>
  </si>
  <si>
    <t>22514.23000</t>
  </si>
  <si>
    <t>0.7544215573075996</t>
  </si>
  <si>
    <t>贵州</t>
  </si>
  <si>
    <t>0.95000</t>
  </si>
  <si>
    <t>2.31000</t>
  </si>
  <si>
    <t>8771.34000</t>
  </si>
  <si>
    <t>6875.65000</t>
  </si>
  <si>
    <t>0.4586681758702737</t>
  </si>
  <si>
    <t>云南</t>
  </si>
  <si>
    <t>1.14000</t>
  </si>
  <si>
    <t>2.76000</t>
  </si>
  <si>
    <t>15429.41000</t>
  </si>
  <si>
    <t>12347.00000</t>
  </si>
  <si>
    <t>0.45271781975517955</t>
  </si>
  <si>
    <t>西藏</t>
  </si>
  <si>
    <t>1.95000</t>
  </si>
  <si>
    <t>1.25000</t>
  </si>
  <si>
    <t>1662.50000</t>
  </si>
  <si>
    <t>409.05000</t>
  </si>
  <si>
    <t>0.5478118299958034</t>
  </si>
  <si>
    <t>陕西</t>
  </si>
  <si>
    <t>2.80000</t>
  </si>
  <si>
    <t>19227.10000</t>
  </si>
  <si>
    <t>12097.30000</t>
  </si>
  <si>
    <t>0.5529666226722695</t>
  </si>
  <si>
    <t>甘肃</t>
  </si>
  <si>
    <t>1.19000</t>
  </si>
  <si>
    <t>8460.94000</t>
  </si>
  <si>
    <t>5736.20000</t>
  </si>
  <si>
    <t>0.5893128527562324</t>
  </si>
  <si>
    <t>青海</t>
  </si>
  <si>
    <t>1.93000</t>
  </si>
  <si>
    <t>1.72000</t>
  </si>
  <si>
    <t>2834.81000</t>
  </si>
  <si>
    <t>2238.99000</t>
  </si>
  <si>
    <t>0.5365993393420346</t>
  </si>
  <si>
    <t>宁夏</t>
  </si>
  <si>
    <t>2.69000</t>
  </si>
  <si>
    <t>2978.40000</t>
  </si>
  <si>
    <t>2907.24000</t>
  </si>
  <si>
    <t>0.6052421036420041</t>
  </si>
  <si>
    <t>新疆</t>
  </si>
  <si>
    <t>1.04000</t>
  </si>
  <si>
    <t>10442.81000</t>
  </si>
  <si>
    <t>6603.40000</t>
  </si>
  <si>
    <t>0.37468500403714955</t>
  </si>
  <si>
    <t>0.59000</t>
  </si>
  <si>
    <t>5.20000</t>
  </si>
  <si>
    <t>84837.30000</t>
  </si>
  <si>
    <t>43189.50000</t>
  </si>
  <si>
    <t>0.49544301396801366</t>
  </si>
  <si>
    <t>0.70000</t>
  </si>
  <si>
    <t>20293.79000</t>
  </si>
  <si>
    <t>18396.81000</t>
  </si>
  <si>
    <t>0.4264205996827163</t>
  </si>
  <si>
    <t>0.66000</t>
  </si>
  <si>
    <t>2.88000</t>
  </si>
  <si>
    <t>34257.16000</t>
  </si>
  <si>
    <t>21317.96000</t>
  </si>
  <si>
    <t>0.4016536633449216</t>
  </si>
  <si>
    <t>3.17000</t>
  </si>
  <si>
    <t>24156.95000</t>
  </si>
  <si>
    <t>13211.30000</t>
  </si>
  <si>
    <t>0.8375035433998516</t>
  </si>
  <si>
    <t>1.55000</t>
  </si>
  <si>
    <t>13672.99000</t>
  </si>
  <si>
    <t>11392.54000</t>
  </si>
  <si>
    <t>0.7046919737275971</t>
  </si>
  <si>
    <t>1.20000</t>
  </si>
  <si>
    <t>35303.00000</t>
  </si>
  <si>
    <t>26306.00000</t>
  </si>
  <si>
    <t>0.5417977821136213</t>
  </si>
  <si>
    <t>0.80000</t>
  </si>
  <si>
    <t>12812.30000</t>
  </si>
  <si>
    <t>9270.30000</t>
  </si>
  <si>
    <t>0.28074929077062094</t>
  </si>
  <si>
    <t>0.93000</t>
  </si>
  <si>
    <t>2.50000</t>
  </si>
  <si>
    <t>16540.70000</t>
  </si>
  <si>
    <t>10259.90000</t>
  </si>
  <si>
    <t>0.3776984912565656</t>
  </si>
  <si>
    <t>0.74000</t>
  </si>
  <si>
    <t>4.25000</t>
  </si>
  <si>
    <t>63555.25000</t>
  </si>
  <si>
    <t>40982.48000</t>
  </si>
  <si>
    <t>0.37818726237798683</t>
  </si>
  <si>
    <t>2.41000</t>
  </si>
  <si>
    <t>77837.73000</t>
  </si>
  <si>
    <t>57464.29000</t>
  </si>
  <si>
    <t>1.68000</t>
  </si>
  <si>
    <t>66679.08000</t>
  </si>
  <si>
    <t>59509.22000</t>
  </si>
  <si>
    <t>0.4728456985090848</t>
  </si>
  <si>
    <t>0.96000</t>
  </si>
  <si>
    <t>2.64000</t>
  </si>
  <si>
    <t>23211.50000</t>
  </si>
  <si>
    <t>16795.20000</t>
  </si>
  <si>
    <t>0.5379114212718972</t>
  </si>
  <si>
    <t>0.76000</t>
  </si>
  <si>
    <t>2.42000</t>
  </si>
  <si>
    <t>25057.80000</t>
  </si>
  <si>
    <t>22427.50000</t>
  </si>
  <si>
    <t>0.4582295089771443</t>
  </si>
  <si>
    <t>2.10000</t>
  </si>
  <si>
    <t>16839.02000</t>
  </si>
  <si>
    <t>11080.15000</t>
  </si>
  <si>
    <t>0.5657088135388993</t>
  </si>
  <si>
    <t>1.07000</t>
  </si>
  <si>
    <t>53166.77000</t>
  </si>
  <si>
    <t>40018.89000</t>
  </si>
  <si>
    <t>0.44056214043003594</t>
  </si>
  <si>
    <t>2.98000</t>
  </si>
  <si>
    <t>31648.50000</t>
  </si>
  <si>
    <t>20031.44000</t>
  </si>
  <si>
    <t>0.2157305623426428</t>
  </si>
  <si>
    <t>2.68000</t>
  </si>
  <si>
    <t>28188.45000</t>
  </si>
  <si>
    <t>18941.05000</t>
  </si>
  <si>
    <t>0.3932744927281092</t>
  </si>
  <si>
    <t>23148.15000</t>
  </si>
  <si>
    <t>15648.59000</t>
  </si>
  <si>
    <t>0.36333749887095956</t>
  </si>
  <si>
    <t>2.97000</t>
  </si>
  <si>
    <t>105099.55000</t>
  </si>
  <si>
    <t>67077.08000</t>
  </si>
  <si>
    <t>0.45051412439525484</t>
  </si>
  <si>
    <t>1.83000</t>
  </si>
  <si>
    <t>15966.65000</t>
  </si>
  <si>
    <t>12355.52000</t>
  </si>
  <si>
    <t>0.5186024267723247</t>
  </si>
  <si>
    <t>0.55000</t>
  </si>
  <si>
    <t>2.11000</t>
  </si>
  <si>
    <t>5109.70000</t>
  </si>
  <si>
    <t>3889.63000</t>
  </si>
  <si>
    <t>0.390573128592942</t>
  </si>
  <si>
    <t>0.46000</t>
  </si>
  <si>
    <t>2.49000</t>
  </si>
  <si>
    <t>19423.90000</t>
  </si>
  <si>
    <t>15594.18000</t>
  </si>
  <si>
    <t>0.6063526788762523</t>
  </si>
  <si>
    <t>1.02000</t>
  </si>
  <si>
    <t>3.44000</t>
  </si>
  <si>
    <t>41576.80000</t>
  </si>
  <si>
    <t>26163.25000</t>
  </si>
  <si>
    <t>0.5342844643698922</t>
  </si>
  <si>
    <t>2.21000</t>
  </si>
  <si>
    <t>10567.83000</t>
  </si>
  <si>
    <t>8350.17000</t>
  </si>
  <si>
    <t>0.43420467171508537</t>
  </si>
  <si>
    <t>0.69000</t>
  </si>
  <si>
    <t>2.63000</t>
  </si>
  <si>
    <t>18061.48000</t>
  </si>
  <si>
    <t>14168.99000</t>
  </si>
  <si>
    <t>0.5136711226132723</t>
  </si>
  <si>
    <t>1.36000</t>
  </si>
  <si>
    <t>2054.25000</t>
  </si>
  <si>
    <t>664.05000</t>
  </si>
  <si>
    <t>0.5796434912388708</t>
  </si>
  <si>
    <t>2.53000</t>
  </si>
  <si>
    <t>22657.74000</t>
  </si>
  <si>
    <t>13865.61000</t>
  </si>
  <si>
    <t>0.49707474848043504</t>
  </si>
  <si>
    <t>0.72000</t>
  </si>
  <si>
    <t>10129.69000</t>
  </si>
  <si>
    <t>7196.60000</t>
  </si>
  <si>
    <t>0.45098213095046463</t>
  </si>
  <si>
    <t>1.32000</t>
  </si>
  <si>
    <t>3528.41000</t>
  </si>
  <si>
    <t>2791.68000</t>
  </si>
  <si>
    <t>0.3358798864694326</t>
  </si>
  <si>
    <t>0.75000</t>
  </si>
  <si>
    <t>3507.16000</t>
  </si>
  <si>
    <t>3372.12000</t>
  </si>
  <si>
    <t>0.4644503142315788</t>
  </si>
  <si>
    <t>3.13000</t>
  </si>
  <si>
    <t>12423.53000</t>
  </si>
  <si>
    <t>8385.98000</t>
  </si>
  <si>
    <t>0.5656009116014824</t>
  </si>
  <si>
    <t>0.54000</t>
  </si>
  <si>
    <t>91660.50000</t>
  </si>
  <si>
    <t>47880.90000</t>
  </si>
  <si>
    <t>0.590100319419671</t>
  </si>
  <si>
    <t>0.79000</t>
  </si>
  <si>
    <t>23116.56000</t>
  </si>
  <si>
    <t>20857.80000</t>
  </si>
  <si>
    <t>0.5132385458597575</t>
  </si>
  <si>
    <t>2.95000</t>
  </si>
  <si>
    <t>39444.50000</t>
  </si>
  <si>
    <t>24423.20000</t>
  </si>
  <si>
    <t>0.7568525985018135</t>
  </si>
  <si>
    <t>3.27000</t>
  </si>
  <si>
    <t>26269.02000</t>
  </si>
  <si>
    <t>15025.45000</t>
  </si>
  <si>
    <t>0.3825649781244085</t>
  </si>
  <si>
    <t>0.88000</t>
  </si>
  <si>
    <t>1.60000</t>
  </si>
  <si>
    <t>15263.80000</t>
  </si>
  <si>
    <t>13056.70000</t>
  </si>
  <si>
    <t>0.37278141775627655</t>
  </si>
  <si>
    <t>1.18000</t>
  </si>
  <si>
    <t>39418.00000</t>
  </si>
  <si>
    <t>29722.00000</t>
  </si>
  <si>
    <t>0.6392874262713948</t>
  </si>
  <si>
    <t>14885.90000</t>
  </si>
  <si>
    <t>10805.20000</t>
  </si>
  <si>
    <t>0.4741559084194432</t>
  </si>
  <si>
    <t>2.60000</t>
  </si>
  <si>
    <t>18293.40000</t>
  </si>
  <si>
    <t>11782.50000</t>
  </si>
  <si>
    <t>0.78100749380199</t>
  </si>
  <si>
    <t>3.84000</t>
  </si>
  <si>
    <t>69256.32000</t>
  </si>
  <si>
    <t>44357.88000</t>
  </si>
  <si>
    <t>0.5225702251392221</t>
  </si>
  <si>
    <t>1.23000</t>
  </si>
  <si>
    <t>88032.48000</t>
  </si>
  <si>
    <t>64503.17000</t>
  </si>
  <si>
    <t>0.4691668342764755</t>
  </si>
  <si>
    <t>1.98000</t>
  </si>
  <si>
    <t>73732.36000</t>
  </si>
  <si>
    <t>65338.78000</t>
  </si>
  <si>
    <t>0.8689885960373163</t>
  </si>
  <si>
    <t>26938.20000</t>
  </si>
  <si>
    <t>19688.20000</t>
  </si>
  <si>
    <t>0.5059643105990095</t>
  </si>
  <si>
    <t>1.22000</t>
  </si>
  <si>
    <t>28938.81000</t>
  </si>
  <si>
    <t>25963.45000</t>
  </si>
  <si>
    <t>0.37916761736621873</t>
  </si>
  <si>
    <t>1.28000</t>
  </si>
  <si>
    <t>19582.70000</t>
  </si>
  <si>
    <t>13111.70000</t>
  </si>
  <si>
    <t>0.3867594725676004</t>
  </si>
  <si>
    <t>2.34000</t>
  </si>
  <si>
    <t>63357.80000</t>
  </si>
  <si>
    <t>47952.10000</t>
  </si>
  <si>
    <t>0.4240309152505997</t>
  </si>
  <si>
    <t>0.82000</t>
  </si>
  <si>
    <t>2.85000</t>
  </si>
  <si>
    <t>37591.09000</t>
  </si>
  <si>
    <t>23511.40000</t>
  </si>
  <si>
    <t>0.5858517208289377</t>
  </si>
  <si>
    <t>32818.92000</t>
  </si>
  <si>
    <t>21795.53000</t>
  </si>
  <si>
    <t>0.6383480668897732</t>
  </si>
  <si>
    <t>0.99000</t>
  </si>
  <si>
    <t>2.08000</t>
  </si>
  <si>
    <t>26876.00000</t>
  </si>
  <si>
    <t>18141.10000</t>
  </si>
  <si>
    <t>0.6062423921972103</t>
  </si>
  <si>
    <t>0.86000</t>
  </si>
  <si>
    <t>3.06000</t>
  </si>
  <si>
    <t>119685.15000</t>
  </si>
  <si>
    <t>75664.16000</t>
  </si>
  <si>
    <t>0.33977984745924844</t>
  </si>
  <si>
    <t>1.92000</t>
  </si>
  <si>
    <t>18400.48000</t>
  </si>
  <si>
    <t>14081.01000</t>
  </si>
  <si>
    <t>0.5294791382378873</t>
  </si>
  <si>
    <t>0.49000</t>
  </si>
  <si>
    <t>5952.50000</t>
  </si>
  <si>
    <t>4630.78000</t>
  </si>
  <si>
    <t>0.8688992368079004</t>
  </si>
  <si>
    <t>0.35000</t>
  </si>
  <si>
    <t>22202.10000</t>
  </si>
  <si>
    <t>17381.55000</t>
  </si>
  <si>
    <t>0.7492784963680993</t>
  </si>
  <si>
    <t>3.50000</t>
  </si>
  <si>
    <t>48122.10000</t>
  </si>
  <si>
    <t>30298.85000</t>
  </si>
  <si>
    <t>0.5036227260525943</t>
  </si>
  <si>
    <t>2.27000</t>
  </si>
  <si>
    <t>13297.62000</t>
  </si>
  <si>
    <t>10156.96000</t>
  </si>
  <si>
    <t>0.5300531291055461</t>
  </si>
  <si>
    <t>0.56000</t>
  </si>
  <si>
    <t>2.74000</t>
  </si>
  <si>
    <t>20829.34000</t>
  </si>
  <si>
    <t>16128.90000</t>
  </si>
  <si>
    <t>0.449081182626691</t>
  </si>
  <si>
    <t>0.45000</t>
  </si>
  <si>
    <t>1.42000</t>
  </si>
  <si>
    <t>2500.94000</t>
  </si>
  <si>
    <t>1076.58000</t>
  </si>
  <si>
    <t>0.6384631326697515</t>
  </si>
  <si>
    <t>0.68000</t>
  </si>
  <si>
    <t>2.61000</t>
  </si>
  <si>
    <t>25736.72000</t>
  </si>
  <si>
    <t>16537.69000</t>
  </si>
  <si>
    <t>2.87000</t>
  </si>
  <si>
    <t>12070.64000</t>
  </si>
  <si>
    <t>8822.23000</t>
  </si>
  <si>
    <t>0.2717188524298769</t>
  </si>
  <si>
    <t>1.08000</t>
  </si>
  <si>
    <t>1.86000</t>
  </si>
  <si>
    <t>4110.74000</t>
  </si>
  <si>
    <t>3514.68000</t>
  </si>
  <si>
    <t>0.6927449107139116</t>
  </si>
  <si>
    <t>3881.40000</t>
  </si>
  <si>
    <t>3947.29000</t>
  </si>
  <si>
    <t>0.5648683429076656</t>
  </si>
  <si>
    <t>3.14000</t>
  </si>
  <si>
    <t>14247.54000</t>
  </si>
  <si>
    <t>10377.13000</t>
  </si>
  <si>
    <t>0.30605081720933197</t>
  </si>
  <si>
    <t>5.70000</t>
  </si>
  <si>
    <t>100095.50000</t>
  </si>
  <si>
    <t>53650.60000</t>
  </si>
  <si>
    <t>0.6202147695866148</t>
  </si>
  <si>
    <t>1.11000</t>
  </si>
  <si>
    <t>24777.75000</t>
  </si>
  <si>
    <t>23223.42000</t>
  </si>
  <si>
    <t>0.33904183140005567</t>
  </si>
  <si>
    <t>43764.00000</t>
  </si>
  <si>
    <t>28052.30000</t>
  </si>
  <si>
    <t>0.4237042611699464</t>
  </si>
  <si>
    <t>1.70000</t>
  </si>
  <si>
    <t>3.65000</t>
  </si>
  <si>
    <t>26942.93000</t>
  </si>
  <si>
    <t>16559.41000</t>
  </si>
  <si>
    <t>0.7177505267226243</t>
  </si>
  <si>
    <t>2.16000</t>
  </si>
  <si>
    <t>16290.60000</t>
  </si>
  <si>
    <t>15066.00000</t>
  </si>
  <si>
    <t>0.447984808706165</t>
  </si>
  <si>
    <t>1.46000</t>
  </si>
  <si>
    <t>42053.00000</t>
  </si>
  <si>
    <t>33024.00000</t>
  </si>
  <si>
    <t>0.36620050257417414</t>
  </si>
  <si>
    <t>16526.30000</t>
  </si>
  <si>
    <t>12695.30000</t>
  </si>
  <si>
    <t>0.5552719897031608</t>
  </si>
  <si>
    <t>3.40000</t>
  </si>
  <si>
    <t>19423.20000</t>
  </si>
  <si>
    <t>13791.50000</t>
  </si>
  <si>
    <t>0.7468247317779365</t>
  </si>
  <si>
    <t>4.19000</t>
  </si>
  <si>
    <t>73882.45000</t>
  </si>
  <si>
    <t>47915.81000</t>
  </si>
  <si>
    <t>0.4543080976729176</t>
  </si>
  <si>
    <t>96471.63000</t>
  </si>
  <si>
    <t>71949.80000</t>
  </si>
  <si>
    <t>0.53479186409498</t>
  </si>
  <si>
    <t>2.04000</t>
  </si>
  <si>
    <t>79241.90000</t>
  </si>
  <si>
    <t>71361.00000</t>
  </si>
  <si>
    <t>0.34526044171520176</t>
  </si>
  <si>
    <t>2.70000</t>
  </si>
  <si>
    <t>30088.80000</t>
  </si>
  <si>
    <t>22754.70000</t>
  </si>
  <si>
    <t>0.5567744569139195</t>
  </si>
  <si>
    <t>1.94000</t>
  </si>
  <si>
    <t>31858.43000</t>
  </si>
  <si>
    <t>30051.27000</t>
  </si>
  <si>
    <t>1.44000</t>
  </si>
  <si>
    <t>21754.91000</t>
  </si>
  <si>
    <t>15696.83000</t>
  </si>
  <si>
    <t>0.34783364601353955</t>
  </si>
  <si>
    <t>69151.92000</t>
  </si>
  <si>
    <t>53662.23000</t>
  </si>
  <si>
    <t>0.48214984527150123</t>
  </si>
  <si>
    <t>0.97000</t>
  </si>
  <si>
    <t>41931.10000</t>
  </si>
  <si>
    <t>27583.30000</t>
  </si>
  <si>
    <t>0.5079217295283152</t>
  </si>
  <si>
    <t>2.96000</t>
  </si>
  <si>
    <t>36407.01000</t>
  </si>
  <si>
    <t>25170.06000</t>
  </si>
  <si>
    <t>0.6916886740873015</t>
  </si>
  <si>
    <t>2.18000</t>
  </si>
  <si>
    <t>30255.60000</t>
  </si>
  <si>
    <t>20783.10000</t>
  </si>
  <si>
    <t>0.7996600655827263</t>
  </si>
  <si>
    <t>1.15000</t>
  </si>
  <si>
    <t>3.45000</t>
  </si>
  <si>
    <t>127881.47000</t>
  </si>
  <si>
    <t>84921.79000</t>
  </si>
  <si>
    <t>0.32585377459648146</t>
  </si>
  <si>
    <t>1.13000</t>
  </si>
  <si>
    <t>20298.54000</t>
  </si>
  <si>
    <t>16070.95000</t>
  </si>
  <si>
    <t>0.5026852362772146</t>
  </si>
  <si>
    <t>2.43000</t>
  </si>
  <si>
    <t>6427.88000</t>
  </si>
  <si>
    <t>5391.51000</t>
  </si>
  <si>
    <t>0.4012448099039325</t>
  </si>
  <si>
    <t>2.90000</t>
  </si>
  <si>
    <t>25160.10000</t>
  </si>
  <si>
    <t>20630.70000</t>
  </si>
  <si>
    <t>0.44303627833017317</t>
  </si>
  <si>
    <t>1.26000</t>
  </si>
  <si>
    <t>53935.80000</t>
  </si>
  <si>
    <t>34750.70000</t>
  </si>
  <si>
    <t>15307.38000</t>
  </si>
  <si>
    <t>12438.00000</t>
  </si>
  <si>
    <t>0.44441969839694007</t>
  </si>
  <si>
    <t>2.93000</t>
  </si>
  <si>
    <t>22528.00000</t>
  </si>
  <si>
    <t>18368.40000</t>
  </si>
  <si>
    <t>0.6485283036857814</t>
  </si>
  <si>
    <t>0.23000</t>
  </si>
  <si>
    <t>1.39000</t>
  </si>
  <si>
    <t>3089.19000</t>
  </si>
  <si>
    <t>1618.72000</t>
  </si>
  <si>
    <t>0.6188885847772101</t>
  </si>
  <si>
    <t>28288.72000</t>
  </si>
  <si>
    <t>19174.05000</t>
  </si>
  <si>
    <t>0.47000</t>
  </si>
  <si>
    <t>3.05000</t>
  </si>
  <si>
    <t>13957.98000</t>
  </si>
  <si>
    <t>11075.78000</t>
  </si>
  <si>
    <t>0.45751321987287613</t>
  </si>
  <si>
    <t>1.00000</t>
  </si>
  <si>
    <t>4529.87000</t>
  </si>
  <si>
    <t>4171.73000</t>
  </si>
  <si>
    <t>0.302552591187742</t>
  </si>
  <si>
    <t>4228.84000</t>
  </si>
  <si>
    <t>4608.28000</t>
  </si>
  <si>
    <t>0.5307700685642124</t>
  </si>
  <si>
    <t>3.43000</t>
  </si>
  <si>
    <t>15216.98000</t>
  </si>
  <si>
    <t>12237.63000</t>
  </si>
  <si>
    <t>0.455120719064397</t>
  </si>
  <si>
    <t>6.11000</t>
  </si>
  <si>
    <t>128573.00000</t>
  </si>
  <si>
    <t>58559.40000</t>
  </si>
  <si>
    <t>0.6160497633413555</t>
  </si>
  <si>
    <t>28149.37000</t>
  </si>
  <si>
    <t>25994.68000</t>
  </si>
  <si>
    <t>0.5836912719095192</t>
  </si>
  <si>
    <t>3.90000</t>
  </si>
  <si>
    <t>48927.60000</t>
  </si>
  <si>
    <t>32608.50000</t>
  </si>
  <si>
    <t>0.5734732884027111</t>
  </si>
  <si>
    <t>4.58000</t>
  </si>
  <si>
    <t>28641.40000</t>
  </si>
  <si>
    <t>18574.83000</t>
  </si>
  <si>
    <t>0.43301297014547785</t>
  </si>
  <si>
    <t>3.97000</t>
  </si>
  <si>
    <t>2.19000</t>
  </si>
  <si>
    <t>18172.17000</t>
  </si>
  <si>
    <t>17264.33000</t>
  </si>
  <si>
    <t>0.37973800870886476</t>
  </si>
  <si>
    <t>1.64000</t>
  </si>
  <si>
    <t>47758.00000</t>
  </si>
  <si>
    <t>36283.00000</t>
  </si>
  <si>
    <t>0.7080581558173775</t>
  </si>
  <si>
    <t>1.47000</t>
  </si>
  <si>
    <t>18683.80000</t>
  </si>
  <si>
    <t>15308.84000</t>
  </si>
  <si>
    <t>0.15603700049610666</t>
  </si>
  <si>
    <t>21429.80000</t>
  </si>
  <si>
    <t>16644.90000</t>
  </si>
  <si>
    <t>0.37600598254855433</t>
  </si>
  <si>
    <t>4.51000</t>
  </si>
  <si>
    <t>103760.60000</t>
  </si>
  <si>
    <t>53387.21000</t>
  </si>
  <si>
    <t>0.5051767296667089</t>
  </si>
  <si>
    <t>107873.03000</t>
  </si>
  <si>
    <t>78866.34000</t>
  </si>
  <si>
    <t>0.5760876858291654</t>
  </si>
  <si>
    <t>3.35000</t>
  </si>
  <si>
    <t>90301.61000</t>
  </si>
  <si>
    <t>76466.32000</t>
  </si>
  <si>
    <t>0.33212734055162024</t>
  </si>
  <si>
    <t>34826.20000</t>
  </si>
  <si>
    <t>26144.40000</t>
  </si>
  <si>
    <t>0.46244706381459055</t>
  </si>
  <si>
    <t>2.77000</t>
  </si>
  <si>
    <t>2.99000</t>
  </si>
  <si>
    <t>36845.50000</t>
  </si>
  <si>
    <t>33694.42000</t>
  </si>
  <si>
    <t>25042.97000</t>
  </si>
  <si>
    <t>18561.09000</t>
  </si>
  <si>
    <t>0.5527624623458068</t>
  </si>
  <si>
    <t>2.32000</t>
  </si>
  <si>
    <t>76795.48000</t>
  </si>
  <si>
    <t>59063.27000</t>
  </si>
  <si>
    <t>0.5496021009096248</t>
  </si>
  <si>
    <t>1.48000</t>
  </si>
  <si>
    <t>3.37000</t>
  </si>
  <si>
    <t>47629.90000</t>
  </si>
  <si>
    <t>31432.60000</t>
  </si>
  <si>
    <t>0.6217048142201788</t>
  </si>
  <si>
    <t>1.58000</t>
  </si>
  <si>
    <t>41345.87000</t>
  </si>
  <si>
    <t>29514.56000</t>
  </si>
  <si>
    <t>0.6406082331171459</t>
  </si>
  <si>
    <t>1.67000</t>
  </si>
  <si>
    <t>2.45000</t>
  </si>
  <si>
    <t>36220.60000</t>
  </si>
  <si>
    <t>24221.90000</t>
  </si>
  <si>
    <t>0.3681749141234073</t>
  </si>
  <si>
    <t>1.43000</t>
  </si>
  <si>
    <t>3.86000</t>
  </si>
  <si>
    <t>160388.22000</t>
  </si>
  <si>
    <t>95661.12000</t>
  </si>
  <si>
    <t>0.45367220466193514</t>
  </si>
  <si>
    <t>22793.54000</t>
  </si>
  <si>
    <t>18119.30000</t>
  </si>
  <si>
    <t>3.09000</t>
  </si>
  <si>
    <t>7637.27000</t>
  </si>
  <si>
    <t>6650.66000</t>
  </si>
  <si>
    <t>0.468466259382588</t>
  </si>
  <si>
    <t>28778.80000</t>
  </si>
  <si>
    <t>22955.21000</t>
  </si>
  <si>
    <t>0.41563986681969184</t>
  </si>
  <si>
    <t>4.21000</t>
  </si>
  <si>
    <t>60117.72000</t>
  </si>
  <si>
    <t>38703.99000</t>
  </si>
  <si>
    <t>0.3602868532452382</t>
  </si>
  <si>
    <t>19537.12000</t>
  </si>
  <si>
    <t>15120.99000</t>
  </si>
  <si>
    <t>0.523224281846672</t>
  </si>
  <si>
    <t>25204.56000</t>
  </si>
  <si>
    <t>21243.17000</t>
  </si>
  <si>
    <t>0.864325834140576</t>
  </si>
  <si>
    <t>1.69000</t>
  </si>
  <si>
    <t>3671.22000</t>
  </si>
  <si>
    <t>2124.49000</t>
  </si>
  <si>
    <t>0.27542573529240627</t>
  </si>
  <si>
    <t>1.99000</t>
  </si>
  <si>
    <t>0.03200</t>
  </si>
  <si>
    <t>32685.32000</t>
  </si>
  <si>
    <t>22096.84000</t>
  </si>
  <si>
    <t>3.78000</t>
  </si>
  <si>
    <t>16299.50000</t>
  </si>
  <si>
    <t>13728.89000</t>
  </si>
  <si>
    <t>0.6491587211227244</t>
  </si>
  <si>
    <t>2.01000</t>
  </si>
  <si>
    <t>5227.96000</t>
  </si>
  <si>
    <t>5124.10000</t>
  </si>
  <si>
    <t>0.24070628709368527</t>
  </si>
  <si>
    <t>3.55000</t>
  </si>
  <si>
    <t>4822.96000</t>
  </si>
  <si>
    <t>5150.32000</t>
  </si>
  <si>
    <t>0.5143532897138771</t>
  </si>
  <si>
    <t>3.94000</t>
  </si>
  <si>
    <t>17822.14000</t>
  </si>
  <si>
    <t>13650.96000</t>
  </si>
  <si>
    <t>7.39000</t>
  </si>
  <si>
    <t>138408.90000</t>
  </si>
  <si>
    <t>63739.40000</t>
  </si>
  <si>
    <t>0.6214560500911179</t>
  </si>
  <si>
    <t>1.79000</t>
  </si>
  <si>
    <t>30067.03000</t>
  </si>
  <si>
    <t>28754.04000</t>
  </si>
  <si>
    <t>0.530268800999111</t>
  </si>
  <si>
    <t>1.87000</t>
  </si>
  <si>
    <t>4.70000</t>
  </si>
  <si>
    <t>55513.30000</t>
  </si>
  <si>
    <t>37352.20000</t>
  </si>
  <si>
    <t>0.8427778253413194</t>
  </si>
  <si>
    <t>2.72000</t>
  </si>
  <si>
    <t>5.42000</t>
  </si>
  <si>
    <t>30869.07000</t>
  </si>
  <si>
    <t>20356.50000</t>
  </si>
  <si>
    <t>3.57000</t>
  </si>
  <si>
    <t>21245.66000</t>
  </si>
  <si>
    <t>19458.45000</t>
  </si>
  <si>
    <t>0.6890839361104621</t>
  </si>
  <si>
    <t>2.09000</t>
  </si>
  <si>
    <t>51693.00000</t>
  </si>
  <si>
    <t>38686.00000</t>
  </si>
  <si>
    <t>0.40556765234183867</t>
  </si>
  <si>
    <t>4.00000</t>
  </si>
  <si>
    <t>21154.72000</t>
  </si>
  <si>
    <t>17210.47000</t>
  </si>
  <si>
    <t>0.318547356127507</t>
  </si>
  <si>
    <t>22394.80000</t>
  </si>
  <si>
    <t>18086.20000</t>
  </si>
  <si>
    <t>0.5516112348134496</t>
  </si>
  <si>
    <t>5.57000</t>
  </si>
  <si>
    <t>110510.96000</t>
  </si>
  <si>
    <t>59982.25000</t>
  </si>
  <si>
    <t>0.42820574224917574</t>
  </si>
  <si>
    <t>3.54000</t>
  </si>
  <si>
    <t>125576.94000</t>
  </si>
  <si>
    <t>92957.02000</t>
  </si>
  <si>
    <t>0.5528647005280017</t>
  </si>
  <si>
    <t>2.26000</t>
  </si>
  <si>
    <t>3.83000</t>
  </si>
  <si>
    <t>99530.29000</t>
  </si>
  <si>
    <t>81804.50000</t>
  </si>
  <si>
    <t>0.3931545655132736</t>
  </si>
  <si>
    <t>3.60000</t>
  </si>
  <si>
    <t>41324.30000</t>
  </si>
  <si>
    <t>30774.50000</t>
  </si>
  <si>
    <t>0.5607136867859774</t>
  </si>
  <si>
    <t>2.73000</t>
  </si>
  <si>
    <t>3.22000</t>
  </si>
  <si>
    <t>40487.03000</t>
  </si>
  <si>
    <t>37787.28000</t>
  </si>
  <si>
    <t>2.22000</t>
  </si>
  <si>
    <t>3.31000</t>
  </si>
  <si>
    <t>29105.23000</t>
  </si>
  <si>
    <t>21847.43000</t>
  </si>
  <si>
    <t>0.5104227329951566</t>
  </si>
  <si>
    <t>85683.49000</t>
  </si>
  <si>
    <t>65243.54000</t>
  </si>
  <si>
    <t>0.5700626582836924</t>
  </si>
  <si>
    <t>1.84000</t>
  </si>
  <si>
    <t>3.87000</t>
  </si>
  <si>
    <t>54979.70000</t>
  </si>
  <si>
    <t>37139.60000</t>
  </si>
  <si>
    <t>0.4860082624313295</t>
  </si>
  <si>
    <t>3.26000</t>
  </si>
  <si>
    <t>47284.95000</t>
  </si>
  <si>
    <t>34530.72000</t>
  </si>
  <si>
    <t>0.6656766332927213</t>
  </si>
  <si>
    <t>1.75000</t>
  </si>
  <si>
    <t>2.84000</t>
  </si>
  <si>
    <t>41996.70000</t>
  </si>
  <si>
    <t>27532.30000</t>
  </si>
  <si>
    <t>0.6566960061430547</t>
  </si>
  <si>
    <t>1.38000</t>
  </si>
  <si>
    <t>4.80000</t>
  </si>
  <si>
    <t>179829.19000</t>
  </si>
  <si>
    <t>110928.41000</t>
  </si>
  <si>
    <t>0.13636752284209744</t>
  </si>
  <si>
    <t>1.91000</t>
  </si>
  <si>
    <t>2.57000</t>
  </si>
  <si>
    <t>25477.80000</t>
  </si>
  <si>
    <t>20640.54000</t>
  </si>
  <si>
    <t>0.73000</t>
  </si>
  <si>
    <t>3.29000</t>
  </si>
  <si>
    <t>9120.17000</t>
  </si>
  <si>
    <t>7687.65000</t>
  </si>
  <si>
    <t>0.5746345225329648</t>
  </si>
  <si>
    <t>32160.09000</t>
  </si>
  <si>
    <t>25524.17000</t>
  </si>
  <si>
    <t>0.7416476424028794</t>
  </si>
  <si>
    <t>2.33000</t>
  </si>
  <si>
    <t>5.24000</t>
  </si>
  <si>
    <t>66892.42000</t>
  </si>
  <si>
    <t>43543.01000</t>
  </si>
  <si>
    <t>0.6778664909938616</t>
  </si>
  <si>
    <t>2.02000</t>
  </si>
  <si>
    <t>23831.36000</t>
  </si>
  <si>
    <t>17961.04000</t>
  </si>
  <si>
    <t>0.5544893781557403</t>
  </si>
  <si>
    <t>3.07000</t>
  </si>
  <si>
    <t>3.56000</t>
  </si>
  <si>
    <t>27921.53000</t>
  </si>
  <si>
    <t>23491.38000</t>
  </si>
  <si>
    <t>0.425764296522595</t>
  </si>
  <si>
    <t>0.27000</t>
  </si>
  <si>
    <t>4379.66000</t>
  </si>
  <si>
    <t>3048.64000</t>
  </si>
  <si>
    <t>0.566277024112306</t>
  </si>
  <si>
    <t>2.23000</t>
  </si>
  <si>
    <t>0.03700</t>
  </si>
  <si>
    <t>35707.36000</t>
  </si>
  <si>
    <t>24224.37000</t>
  </si>
  <si>
    <t>1.77000</t>
  </si>
  <si>
    <t>4.30000</t>
  </si>
  <si>
    <t>17515.66000</t>
  </si>
  <si>
    <t>15926.41000</t>
  </si>
  <si>
    <t>0.5989287976811736</t>
  </si>
  <si>
    <t>2.13000</t>
  </si>
  <si>
    <t>5586.18000</t>
  </si>
  <si>
    <t>5717.16000</t>
  </si>
  <si>
    <t>0.6175096328664033</t>
  </si>
  <si>
    <t>2.05000</t>
  </si>
  <si>
    <t>5460.63000</t>
  </si>
  <si>
    <t>5695.96000</t>
  </si>
  <si>
    <t>0.7686712466162813</t>
  </si>
  <si>
    <t>1.40000</t>
  </si>
  <si>
    <t>4.57000</t>
  </si>
  <si>
    <t>19300.08000</t>
  </si>
  <si>
    <t>15196.01000</t>
  </si>
  <si>
    <t>0.50000</t>
  </si>
  <si>
    <t>7.05000</t>
  </si>
  <si>
    <t>144086.00000</t>
  </si>
  <si>
    <t>69556.20000</t>
  </si>
  <si>
    <t>0.7275571616037552</t>
  </si>
  <si>
    <t>30940.81000</t>
  </si>
  <si>
    <t>31602.54000</t>
  </si>
  <si>
    <t>0.48024221659153754</t>
  </si>
  <si>
    <t>4.77000</t>
  </si>
  <si>
    <t>60451.30000</t>
  </si>
  <si>
    <t>43315.28000</t>
  </si>
  <si>
    <t>0.6379313147965197</t>
  </si>
  <si>
    <t>5.50000</t>
  </si>
  <si>
    <t>32844.88000</t>
  </si>
  <si>
    <t>22573.77000</t>
  </si>
  <si>
    <t>3.80000</t>
  </si>
  <si>
    <t>23092.73000</t>
  </si>
  <si>
    <t>21566.31000</t>
  </si>
  <si>
    <t>0.6667153462893152</t>
  </si>
  <si>
    <t>5.30000</t>
  </si>
  <si>
    <t>54249.00000</t>
  </si>
  <si>
    <t>41279.00000</t>
  </si>
  <si>
    <t>0.45820285885118917</t>
  </si>
  <si>
    <t>21696.87000</t>
  </si>
  <si>
    <t>18010.34000</t>
  </si>
  <si>
    <t>0.47952098887510136</t>
  </si>
  <si>
    <t>4.46000</t>
  </si>
  <si>
    <t>23796.00000</t>
  </si>
  <si>
    <t>19466.10000</t>
  </si>
  <si>
    <t>0.23551577118389377</t>
  </si>
  <si>
    <t>0.60000</t>
  </si>
  <si>
    <t>5.27000</t>
  </si>
  <si>
    <t>112461.74000</t>
  </si>
  <si>
    <t>67182.01000</t>
  </si>
  <si>
    <t>0.43543451252783477</t>
  </si>
  <si>
    <t>134776.17000</t>
  </si>
  <si>
    <t>104007.34000</t>
  </si>
  <si>
    <t>0.21959750299017167</t>
  </si>
  <si>
    <t>4.15000</t>
  </si>
  <si>
    <t>107320.53000</t>
  </si>
  <si>
    <t>90233.30000</t>
  </si>
  <si>
    <t>0.36232929984374684</t>
  </si>
  <si>
    <t>46146.90000</t>
  </si>
  <si>
    <t>35162.00000</t>
  </si>
  <si>
    <t>0.5544135619890117</t>
  </si>
  <si>
    <t>3.20000</t>
  </si>
  <si>
    <t>44086.83000</t>
  </si>
  <si>
    <t>41899.68000</t>
  </si>
  <si>
    <t>3.49000</t>
  </si>
  <si>
    <t>32535.70000</t>
  </si>
  <si>
    <t>25900.40000</t>
  </si>
  <si>
    <t>0.7285096905376257</t>
  </si>
  <si>
    <t>3.77000</t>
  </si>
  <si>
    <t>91018.70000</t>
  </si>
  <si>
    <t>70873.90000</t>
  </si>
  <si>
    <t>0.583655522632336</t>
  </si>
  <si>
    <t>4.49000</t>
  </si>
  <si>
    <t>60037.60000</t>
  </si>
  <si>
    <t>42546.80000</t>
  </si>
  <si>
    <t>0.7311245889750781</t>
  </si>
  <si>
    <t>1.50000</t>
  </si>
  <si>
    <t>52352.43000</t>
  </si>
  <si>
    <t>39571.11000</t>
  </si>
  <si>
    <t>0.46660892239848595</t>
  </si>
  <si>
    <t>3.21000</t>
  </si>
  <si>
    <t>46729.30000</t>
  </si>
  <si>
    <t>31850.00000</t>
  </si>
  <si>
    <t>0.44805108952589723</t>
  </si>
  <si>
    <t>194535.75000</t>
  </si>
  <si>
    <t>126031.95000</t>
  </si>
  <si>
    <t>0.47622093476603633</t>
  </si>
  <si>
    <t>27899.64000</t>
  </si>
  <si>
    <t>23226.14000</t>
  </si>
  <si>
    <t>3.69000</t>
  </si>
  <si>
    <t>10096.38000</t>
  </si>
  <si>
    <t>8459.27000</t>
  </si>
  <si>
    <t>0.31692227097898884</t>
  </si>
  <si>
    <t>34853.00000</t>
  </si>
  <si>
    <t>25924.00000</t>
  </si>
  <si>
    <t>0.7852608735155454</t>
  </si>
  <si>
    <t>73079.41000</t>
  </si>
  <si>
    <t>49144.09000</t>
  </si>
  <si>
    <t>0.4187135448099317</t>
  </si>
  <si>
    <t>26194.14000</t>
  </si>
  <si>
    <t>20965.31000</t>
  </si>
  <si>
    <t>0.5343234028813996</t>
  </si>
  <si>
    <t>3.71000</t>
  </si>
  <si>
    <t>30160.74000</t>
  </si>
  <si>
    <t>25857.58000</t>
  </si>
  <si>
    <t>0.4376946522356813</t>
  </si>
  <si>
    <t>0.30000</t>
  </si>
  <si>
    <t>4959.06000</t>
  </si>
  <si>
    <t>4043.64000</t>
  </si>
  <si>
    <t>0.3356871913822966</t>
  </si>
  <si>
    <t>0.04000</t>
  </si>
  <si>
    <t>38153.27000</t>
  </si>
  <si>
    <t>26924.48000</t>
  </si>
  <si>
    <t>4.78000</t>
  </si>
  <si>
    <t>17777.22000</t>
  </si>
  <si>
    <t>17707.24000</t>
  </si>
  <si>
    <t>0.46885067086949733</t>
  </si>
  <si>
    <t>5843.21000</t>
  </si>
  <si>
    <t>6353.05000</t>
  </si>
  <si>
    <t>0.7960768379635195</t>
  </si>
  <si>
    <t>5867.22000</t>
  </si>
  <si>
    <t>6461.48000</t>
  </si>
  <si>
    <t>0.6065776721263888</t>
  </si>
  <si>
    <t>21753.05000</t>
  </si>
  <si>
    <t>17477.56000</t>
  </si>
  <si>
    <t>0.40000</t>
  </si>
  <si>
    <t>157092.20000</t>
  </si>
  <si>
    <t>70483.70000</t>
  </si>
  <si>
    <t>0.4429497789393529</t>
  </si>
  <si>
    <t>30983.17000</t>
  </si>
  <si>
    <t>34084.90000</t>
  </si>
  <si>
    <t>0.27939451025086504</t>
  </si>
  <si>
    <t>4.97000</t>
  </si>
  <si>
    <t>66245.20000</t>
  </si>
  <si>
    <t>48115.30000</t>
  </si>
  <si>
    <t>0.3884068567960778</t>
  </si>
  <si>
    <t>4.90000</t>
  </si>
  <si>
    <t>35339.99000</t>
  </si>
  <si>
    <t>25256.43000</t>
  </si>
  <si>
    <t>3.81000</t>
  </si>
  <si>
    <t>23342.05000</t>
  </si>
  <si>
    <t>22195.73000</t>
  </si>
  <si>
    <t>0.5362426782524327</t>
  </si>
  <si>
    <t>4.10000</t>
  </si>
  <si>
    <t>59016.00000</t>
  </si>
  <si>
    <t>44985.00000</t>
  </si>
  <si>
    <t>0.4486523649683009</t>
  </si>
  <si>
    <t>4.20000</t>
  </si>
  <si>
    <t>22056.30000</t>
  </si>
  <si>
    <t>18993.30000</t>
  </si>
  <si>
    <t>0.4690962472759106</t>
  </si>
  <si>
    <t>25486.60000</t>
  </si>
  <si>
    <t>20326.00000</t>
  </si>
  <si>
    <t>0.4785181807427937</t>
  </si>
  <si>
    <t>121112.33000</t>
  </si>
  <si>
    <t>73272.35000</t>
  </si>
  <si>
    <t>0.7779244052425452</t>
  </si>
  <si>
    <t>144227.38000</t>
  </si>
  <si>
    <t>117807.90000</t>
  </si>
  <si>
    <t>0.452868959586402</t>
  </si>
  <si>
    <t>4.01000</t>
  </si>
  <si>
    <t>116512.74000</t>
  </si>
  <si>
    <t>105774.91000</t>
  </si>
  <si>
    <t>0.5976254842166434</t>
  </si>
  <si>
    <t>4.03000</t>
  </si>
  <si>
    <t>51199.20000</t>
  </si>
  <si>
    <t>39452.70000</t>
  </si>
  <si>
    <t>0.45624656590314183</t>
  </si>
  <si>
    <t>45812.90000</t>
  </si>
  <si>
    <t>46503.50000</t>
  </si>
  <si>
    <t>35290.69000</t>
  </si>
  <si>
    <t>30567.14000</t>
  </si>
  <si>
    <t>0.539629586166728</t>
  </si>
  <si>
    <t>96412.66000</t>
  </si>
  <si>
    <t>77810.46000</t>
  </si>
  <si>
    <t>0.39468361429038334</t>
  </si>
  <si>
    <t>4.71000</t>
  </si>
  <si>
    <t>64983.00000</t>
  </si>
  <si>
    <t>48870.60000</t>
  </si>
  <si>
    <t>0.7820850374666717</t>
  </si>
  <si>
    <t>3.74000</t>
  </si>
  <si>
    <t>56076.44000</t>
  </si>
  <si>
    <t>45805.66000</t>
  </si>
  <si>
    <t>0.43614161435108334</t>
  </si>
  <si>
    <t>48994.60000</t>
  </si>
  <si>
    <t>36460.50000</t>
  </si>
  <si>
    <t>0.6884812695685483</t>
  </si>
  <si>
    <t>4.79000</t>
  </si>
  <si>
    <t>208051.16000</t>
  </si>
  <si>
    <t>145169.39000</t>
  </si>
  <si>
    <t>0.5928232145459061</t>
  </si>
  <si>
    <t>29789.78000</t>
  </si>
  <si>
    <t>26688.31000</t>
  </si>
  <si>
    <t>9610.47000</t>
  </si>
  <si>
    <t>8820.12000</t>
  </si>
  <si>
    <t>0.4368230790666239</t>
  </si>
  <si>
    <t>3.96000</t>
  </si>
  <si>
    <t>36887.00000</t>
  </si>
  <si>
    <t>32248.00000</t>
  </si>
  <si>
    <t>0.5089753049100917</t>
  </si>
  <si>
    <t>4.81000</t>
  </si>
  <si>
    <t>77391.02000</t>
  </si>
  <si>
    <t>55390.86000</t>
  </si>
  <si>
    <t>0.7678193369043057</t>
  </si>
  <si>
    <t>3.01000</t>
  </si>
  <si>
    <t>26542.46000</t>
  </si>
  <si>
    <t>24616.96000</t>
  </si>
  <si>
    <t>0.4375677746720583</t>
  </si>
  <si>
    <t>30740.84000</t>
  </si>
  <si>
    <t>28485.69000</t>
  </si>
  <si>
    <t>0.46890502165978676</t>
  </si>
  <si>
    <t>2.39000</t>
  </si>
  <si>
    <t>4934.62000</t>
  </si>
  <si>
    <t>4555.74000</t>
  </si>
  <si>
    <t>0.2908185511378294</t>
  </si>
  <si>
    <t>0.03800</t>
  </si>
  <si>
    <t>40927.56000</t>
  </si>
  <si>
    <t>30742.73000</t>
  </si>
  <si>
    <t>4.40000</t>
  </si>
  <si>
    <t>4.74000</t>
  </si>
  <si>
    <t>18678.46000</t>
  </si>
  <si>
    <t>19371.74000</t>
  </si>
  <si>
    <t>0.1901702730608412</t>
  </si>
  <si>
    <t>5770.89000</t>
  </si>
  <si>
    <t>6634.93000</t>
  </si>
  <si>
    <t>0.46199154369855444</t>
  </si>
  <si>
    <t>4.93000</t>
  </si>
  <si>
    <t>6046.14000</t>
  </si>
  <si>
    <t>7038.52000</t>
  </si>
  <si>
    <t>0.19787511313999862</t>
  </si>
  <si>
    <t>4.73000</t>
  </si>
  <si>
    <t>22378.08000</t>
  </si>
  <si>
    <t>18774.26000</t>
  </si>
  <si>
    <t>5.87000</t>
  </si>
  <si>
    <t>171062.30000</t>
  </si>
  <si>
    <t>76875.60000</t>
  </si>
  <si>
    <t>0.3349337042307505</t>
  </si>
  <si>
    <t>31788.78000</t>
  </si>
  <si>
    <t>36141.27000</t>
  </si>
  <si>
    <t>0.3611487180371092</t>
  </si>
  <si>
    <t>5.67000</t>
  </si>
  <si>
    <t>72884.50000</t>
  </si>
  <si>
    <t>53448.10000</t>
  </si>
  <si>
    <t>0.49702553651252074</t>
  </si>
  <si>
    <t>5.19000</t>
  </si>
  <si>
    <t>38381.44000</t>
  </si>
  <si>
    <t>28119.37000</t>
  </si>
  <si>
    <t>4.24000</t>
  </si>
  <si>
    <t>23743.35000</t>
  </si>
  <si>
    <t>23178.09000</t>
  </si>
  <si>
    <t>0.6762059855863349</t>
  </si>
  <si>
    <t>62697.00000</t>
  </si>
  <si>
    <t>49583.00000</t>
  </si>
  <si>
    <t>0.5499232224272945</t>
  </si>
  <si>
    <t>5.80000</t>
  </si>
  <si>
    <t>24153.77000</t>
  </si>
  <si>
    <t>20884.41000</t>
  </si>
  <si>
    <t>0.4325220126887308</t>
  </si>
  <si>
    <t>7.00000</t>
  </si>
  <si>
    <t>27868.30000</t>
  </si>
  <si>
    <t>21506.60000</t>
  </si>
  <si>
    <t>0.5548252524332262</t>
  </si>
  <si>
    <t>4.50000</t>
  </si>
  <si>
    <t>132820.27000</t>
  </si>
  <si>
    <t>79843.01000</t>
  </si>
  <si>
    <t>0.37564298527812606</t>
  </si>
  <si>
    <t>157139.72000</t>
  </si>
  <si>
    <t>135139.67000</t>
  </si>
  <si>
    <t>0.40349379803869445</t>
  </si>
  <si>
    <t>131299.00000</t>
  </si>
  <si>
    <t>121751.00000</t>
  </si>
  <si>
    <t>0.22992554723019323</t>
  </si>
  <si>
    <t>3.63000</t>
  </si>
  <si>
    <t>54876.80000</t>
  </si>
  <si>
    <t>44940.70000</t>
  </si>
  <si>
    <t>0.5564124041894025</t>
  </si>
  <si>
    <t>49836.41000</t>
  </si>
  <si>
    <t>52640.82000</t>
  </si>
  <si>
    <t>39175.40000</t>
  </si>
  <si>
    <t>35696.80000</t>
  </si>
  <si>
    <t>0.7127001695106646</t>
  </si>
  <si>
    <t>4.56000</t>
  </si>
  <si>
    <t>104738.87000</t>
  </si>
  <si>
    <t>86325.56000</t>
  </si>
  <si>
    <t>0.48347292507396816</t>
  </si>
  <si>
    <t>4.48000</t>
  </si>
  <si>
    <t>70771.00000</t>
  </si>
  <si>
    <t>56893.60000</t>
  </si>
  <si>
    <t>0.3140311981552604</t>
  </si>
  <si>
    <t>60537.45000</t>
  </si>
  <si>
    <t>52242.60000</t>
  </si>
  <si>
    <t>0.6567674965666509</t>
  </si>
  <si>
    <t>3.51000</t>
  </si>
  <si>
    <t>51770.90000</t>
  </si>
  <si>
    <t>42354.80000</t>
  </si>
  <si>
    <t>0.809716072787153</t>
  </si>
  <si>
    <t>5.11000</t>
  </si>
  <si>
    <t>232458.64000</t>
  </si>
  <si>
    <t>167994.58000</t>
  </si>
  <si>
    <t>0.5860529822512184</t>
  </si>
  <si>
    <t>31646.01000</t>
  </si>
  <si>
    <t>30497.39000</t>
  </si>
  <si>
    <t>8.70000</t>
  </si>
  <si>
    <t>9737.77000</t>
  </si>
  <si>
    <t>9521.09000</t>
  </si>
  <si>
    <t>0.6380254543609801</t>
  </si>
  <si>
    <t>3.88000</t>
  </si>
  <si>
    <t>39483.20000</t>
  </si>
  <si>
    <t>37105.02000</t>
  </si>
  <si>
    <t>0.4308853579981141</t>
  </si>
  <si>
    <t>4.61000</t>
  </si>
  <si>
    <t>83121.75000</t>
  </si>
  <si>
    <t>62493.76000</t>
  </si>
  <si>
    <t>0.3646851225962594</t>
  </si>
  <si>
    <t>2.92000</t>
  </si>
  <si>
    <t>27221.81000</t>
  </si>
  <si>
    <t>28533.34000</t>
  </si>
  <si>
    <t>0.5550478593787554</t>
  </si>
  <si>
    <t>32985.37000</t>
  </si>
  <si>
    <t>31565.01000</t>
  </si>
  <si>
    <t>0.4673051571788541</t>
  </si>
  <si>
    <t>2.29000</t>
  </si>
  <si>
    <t>4979.50000</t>
  </si>
  <si>
    <t>4695.46000</t>
  </si>
  <si>
    <t>0.5391671667956136</t>
  </si>
  <si>
    <t>44536.65000</t>
  </si>
  <si>
    <t>34337.11000</t>
  </si>
  <si>
    <t>19768.46000</t>
  </si>
  <si>
    <t>20677.93000</t>
  </si>
  <si>
    <t>0.538077014664748</t>
  </si>
  <si>
    <t>8.20000</t>
  </si>
  <si>
    <t>3.32000</t>
  </si>
  <si>
    <t>5858.71000</t>
  </si>
  <si>
    <t>6689.95000</t>
  </si>
  <si>
    <t>0.39516857135783146</t>
  </si>
  <si>
    <t>5.00000</t>
  </si>
  <si>
    <t>6460.42000</t>
  </si>
  <si>
    <t>7427.57000</t>
  </si>
  <si>
    <t>0.4209840504018381</t>
  </si>
  <si>
    <t>23454.66000</t>
  </si>
  <si>
    <t>20525.59000</t>
  </si>
  <si>
    <t>0.90000</t>
  </si>
  <si>
    <t>6.38000</t>
  </si>
  <si>
    <t>188081.60000</t>
  </si>
  <si>
    <t>84308.80000</t>
  </si>
  <si>
    <t>0.538890514781383</t>
  </si>
  <si>
    <t>34145.00000</t>
  </si>
  <si>
    <t>38859.42000</t>
  </si>
  <si>
    <t>0.3611552683140764</t>
  </si>
  <si>
    <t>5.77000</t>
  </si>
  <si>
    <t>80895.20000</t>
  </si>
  <si>
    <t>60605.20000</t>
  </si>
  <si>
    <t>0.6862583701625536</t>
  </si>
  <si>
    <t>5.28000</t>
  </si>
  <si>
    <t>42497.08000</t>
  </si>
  <si>
    <t>30640.85000</t>
  </si>
  <si>
    <t>4.26000</t>
  </si>
  <si>
    <t>25066.61000</t>
  </si>
  <si>
    <t>23327.64000</t>
  </si>
  <si>
    <t>0.5941915365577645</t>
  </si>
  <si>
    <t>67988.00000</t>
  </si>
  <si>
    <t>52209.00000</t>
  </si>
  <si>
    <t>0.5357221348476419</t>
  </si>
  <si>
    <t>27246.50000</t>
  </si>
  <si>
    <t>22751.10000</t>
  </si>
  <si>
    <t>0.5389561593039633</t>
  </si>
  <si>
    <t>7.20000</t>
  </si>
  <si>
    <t>31610.60000</t>
  </si>
  <si>
    <t>22585.90000</t>
  </si>
  <si>
    <t>0.046349344027337265</t>
  </si>
  <si>
    <t>155865.10000</t>
  </si>
  <si>
    <t>84643.04000</t>
  </si>
  <si>
    <t>0.5494425744396952</t>
  </si>
  <si>
    <t>3.91000</t>
  </si>
  <si>
    <t>177978.00000</t>
  </si>
  <si>
    <t>156577.38000</t>
  </si>
  <si>
    <t>0.5148589390339751</t>
  </si>
  <si>
    <t>152234.00000</t>
  </si>
  <si>
    <t>143612.00000</t>
  </si>
  <si>
    <t>0.6473972703690517</t>
  </si>
  <si>
    <t>60468.34000</t>
  </si>
  <si>
    <t>52124.97000</t>
  </si>
  <si>
    <t>0.5352232617218815</t>
  </si>
  <si>
    <t>2.83000</t>
  </si>
  <si>
    <t>56386.92000</t>
  </si>
  <si>
    <t>59859.66000</t>
  </si>
  <si>
    <t>3.61000</t>
  </si>
  <si>
    <t>43912.95000</t>
  </si>
  <si>
    <t>41667.70000</t>
  </si>
  <si>
    <t>0.31303473264136017</t>
  </si>
  <si>
    <t>118349.36000</t>
  </si>
  <si>
    <t>97880.59000</t>
  </si>
  <si>
    <t>0.26110193076972</t>
  </si>
  <si>
    <t>77552.60000</t>
  </si>
  <si>
    <t>64115.20000</t>
  </si>
  <si>
    <t>0.4303387816283681</t>
  </si>
  <si>
    <t>67159.32000</t>
  </si>
  <si>
    <t>59872.13000</t>
  </si>
  <si>
    <t>0.47374498367034157</t>
  </si>
  <si>
    <t>3.62000</t>
  </si>
  <si>
    <t>56682.00000</t>
  </si>
  <si>
    <t>49405.60000</t>
  </si>
  <si>
    <t>0.5050833175188041</t>
  </si>
  <si>
    <t>267638.26000</t>
  </si>
  <si>
    <t>195680.62000</t>
  </si>
  <si>
    <t>0.6139889853801537</t>
  </si>
  <si>
    <t>34665.55000</t>
  </si>
  <si>
    <t>35196.77000</t>
  </si>
  <si>
    <t>11.90000</t>
  </si>
  <si>
    <t>3.72000</t>
  </si>
  <si>
    <t>10312.45000</t>
  </si>
  <si>
    <t>9981.72000</t>
  </si>
  <si>
    <t>0.5884795688046278</t>
  </si>
  <si>
    <t>3.95000</t>
  </si>
  <si>
    <t>42854.30000</t>
  </si>
  <si>
    <t>41908.90000</t>
  </si>
  <si>
    <t>0.4601435920165216</t>
  </si>
  <si>
    <t>4.68000</t>
  </si>
  <si>
    <t>91835.79000</t>
  </si>
  <si>
    <t>71025.99000</t>
  </si>
  <si>
    <t>0.5928731031430153</t>
  </si>
  <si>
    <t>28324.64000</t>
  </si>
  <si>
    <t>32299.37000</t>
  </si>
  <si>
    <t>0.47420267840320063</t>
  </si>
  <si>
    <t>3.08000</t>
  </si>
  <si>
    <t>35652.83000</t>
  </si>
  <si>
    <t>35052.08000</t>
  </si>
  <si>
    <t>0.6006773856997615</t>
  </si>
  <si>
    <t>5423.48000</t>
  </si>
  <si>
    <t>4957.09000</t>
  </si>
  <si>
    <t>0.19185079151219694</t>
  </si>
  <si>
    <t>49448.62000</t>
  </si>
  <si>
    <t>39185.75000</t>
  </si>
  <si>
    <t>7.10000</t>
  </si>
  <si>
    <t>5.38000</t>
  </si>
  <si>
    <t>20992.67000</t>
  </si>
  <si>
    <t>22159.41000</t>
  </si>
  <si>
    <t>0.3914134189133283</t>
  </si>
  <si>
    <t>6314.07000</t>
  </si>
  <si>
    <t>6620.86000</t>
  </si>
  <si>
    <t>0.5057137350258925</t>
  </si>
  <si>
    <t>5.40000</t>
  </si>
  <si>
    <t>7136.24000</t>
  </si>
  <si>
    <t>7981.87000</t>
  </si>
  <si>
    <t>0.39225235087509047</t>
  </si>
  <si>
    <t>4.94000</t>
  </si>
  <si>
    <t>24965.02000</t>
  </si>
  <si>
    <t>22905.83000</t>
  </si>
  <si>
    <t>6.28000</t>
  </si>
  <si>
    <t>199741.50000</t>
  </si>
  <si>
    <t>89032.90000</t>
  </si>
  <si>
    <t>0.4875484001464275</t>
  </si>
  <si>
    <t>35903.09000</t>
  </si>
  <si>
    <t>41054.17000</t>
  </si>
  <si>
    <t>0.1118205484879598</t>
  </si>
  <si>
    <t>89019.49000</t>
  </si>
  <si>
    <t>67962.76000</t>
  </si>
  <si>
    <t>0.3343045253292877</t>
  </si>
  <si>
    <t>4.42000</t>
  </si>
  <si>
    <t>46813.87000</t>
  </si>
  <si>
    <t>34214.90000</t>
  </si>
  <si>
    <t>3.15000</t>
  </si>
  <si>
    <t>27646.21000</t>
  </si>
  <si>
    <t>25016.97000</t>
  </si>
  <si>
    <t>0.7181273644033959</t>
  </si>
  <si>
    <t>69995.50000</t>
  </si>
  <si>
    <t>53134.80000</t>
  </si>
  <si>
    <t>0.7292785102774002</t>
  </si>
  <si>
    <t>29596.33000</t>
  </si>
  <si>
    <t>24609.83000</t>
  </si>
  <si>
    <t>0.5686053428610935</t>
  </si>
  <si>
    <t>6.70000</t>
  </si>
  <si>
    <t>34319.90000</t>
  </si>
  <si>
    <t>24409.50000</t>
  </si>
  <si>
    <t>0.7982503916903332</t>
  </si>
  <si>
    <t>4.60000</t>
  </si>
  <si>
    <t>175831.08000</t>
  </si>
  <si>
    <t>96032.13000</t>
  </si>
  <si>
    <t>0.5450058956873868</t>
  </si>
  <si>
    <t>196016.31000</t>
  </si>
  <si>
    <t>180538.69000</t>
  </si>
  <si>
    <t>0.5039227241847775</t>
  </si>
  <si>
    <t>170816.00000</t>
  </si>
  <si>
    <t>165756.00000</t>
  </si>
  <si>
    <t>0.294323737029714</t>
  </si>
  <si>
    <t>66868.55000</t>
  </si>
  <si>
    <t>58669.82000</t>
  </si>
  <si>
    <t>0.36568235149008993</t>
  </si>
  <si>
    <t>2.65000</t>
  </si>
  <si>
    <t>62091.51000</t>
  </si>
  <si>
    <t>67894.59000</t>
  </si>
  <si>
    <t>47756.04000</t>
  </si>
  <si>
    <t>47173.43000</t>
  </si>
  <si>
    <t>0.5217281993305956</t>
  </si>
  <si>
    <t>130482.08000</t>
  </si>
  <si>
    <t>111035.40000</t>
  </si>
  <si>
    <t>0.5208812164233764</t>
  </si>
  <si>
    <t>83456.20000</t>
  </si>
  <si>
    <t>70540.80000</t>
  </si>
  <si>
    <t>0.4795326258726676</t>
  </si>
  <si>
    <t>72476.67000</t>
  </si>
  <si>
    <t>67037.99000</t>
  </si>
  <si>
    <t>0.2683256513923322</t>
  </si>
  <si>
    <t>62891.00000</t>
  </si>
  <si>
    <t>55845.00000</t>
  </si>
  <si>
    <t>0.6155308033915978</t>
  </si>
  <si>
    <t>293169.22000</t>
  </si>
  <si>
    <t>222234.29000</t>
  </si>
  <si>
    <t>0.6313848796982381</t>
  </si>
  <si>
    <t>36879.44000</t>
  </si>
  <si>
    <t>39851.13000</t>
  </si>
  <si>
    <t>9.40000</t>
  </si>
  <si>
    <t>11338.68000</t>
  </si>
  <si>
    <t>10607.06000</t>
  </si>
  <si>
    <t>0.7104785531729821</t>
  </si>
  <si>
    <t>3.48000</t>
  </si>
  <si>
    <t>45908.04000</t>
  </si>
  <si>
    <t>46927.61000</t>
  </si>
  <si>
    <t>0.28641002310692804</t>
  </si>
  <si>
    <t>4.09000</t>
  </si>
  <si>
    <t>100077.29000</t>
  </si>
  <si>
    <t>80340.43000</t>
  </si>
  <si>
    <t>0.4804824558964624</t>
  </si>
  <si>
    <t>30123.45000</t>
  </si>
  <si>
    <t>35890.16000</t>
  </si>
  <si>
    <t>0.8048493171785348</t>
  </si>
  <si>
    <t>2.54000</t>
  </si>
  <si>
    <t>36520.01000</t>
  </si>
  <si>
    <t>38977.92000</t>
  </si>
  <si>
    <t>0.8539282952509006</t>
  </si>
  <si>
    <t>5596.45000</t>
  </si>
  <si>
    <t>5135.32000</t>
  </si>
  <si>
    <t>0.6048962715137444</t>
  </si>
  <si>
    <t>3.53000</t>
  </si>
  <si>
    <t>54625.07000</t>
  </si>
  <si>
    <t>44379.32000</t>
  </si>
  <si>
    <t>6.50000</t>
  </si>
  <si>
    <t>22614.58000</t>
  </si>
  <si>
    <t>23905.33000</t>
  </si>
  <si>
    <t>0.5612390329504128</t>
  </si>
  <si>
    <t>3.19000</t>
  </si>
  <si>
    <t>6737.05000</t>
  </si>
  <si>
    <t>6856.44000</t>
  </si>
  <si>
    <t>0.6536053436049326</t>
  </si>
  <si>
    <t>7483.64000</t>
  </si>
  <si>
    <t>8461.30000</t>
  </si>
  <si>
    <t>0.46295752816968794</t>
  </si>
  <si>
    <t>26662.10000</t>
  </si>
  <si>
    <t>25508.56000</t>
  </si>
  <si>
    <t>6.63000</t>
  </si>
  <si>
    <t>218628.80000</t>
  </si>
  <si>
    <t>97819.90000</t>
  </si>
  <si>
    <t>0.5819661390370763</t>
  </si>
  <si>
    <t>40488.25000</t>
  </si>
  <si>
    <t>42494.69000</t>
  </si>
  <si>
    <t>0.5587396498328737</t>
  </si>
  <si>
    <t>4.82000</t>
  </si>
  <si>
    <t>100278.96000</t>
  </si>
  <si>
    <t>76644.67000</t>
  </si>
  <si>
    <t>0.4511950324558069</t>
  </si>
  <si>
    <t>53647.00000</t>
  </si>
  <si>
    <t>37620.88000</t>
  </si>
  <si>
    <t>32419.52000</t>
  </si>
  <si>
    <t>26958.57000</t>
  </si>
  <si>
    <t>0.4029253686812086</t>
  </si>
  <si>
    <t>75375.70000</t>
  </si>
  <si>
    <t>54321.00000</t>
  </si>
  <si>
    <t>0.5823368377005576</t>
  </si>
  <si>
    <t>32733.15000</t>
  </si>
  <si>
    <t>26335.42000</t>
  </si>
  <si>
    <t>0.5907483944468163</t>
  </si>
  <si>
    <t>6.20000</t>
  </si>
  <si>
    <t>38782.50000</t>
  </si>
  <si>
    <t>25358.00000</t>
  </si>
  <si>
    <t>0.5163956019414954</t>
  </si>
  <si>
    <t>192293.06000</t>
  </si>
  <si>
    <t>103138.91000</t>
  </si>
  <si>
    <t>0.464298363148277</t>
  </si>
  <si>
    <t>3.52000</t>
  </si>
  <si>
    <t>218695.78000</t>
  </si>
  <si>
    <t>206845.36000</t>
  </si>
  <si>
    <t>0.6425574577091689</t>
  </si>
  <si>
    <t>196340.00000</t>
  </si>
  <si>
    <t>189808.00000</t>
  </si>
  <si>
    <t>0.7657371337010821</t>
  </si>
  <si>
    <t>75196.09000</t>
  </si>
  <si>
    <t>67466.20000</t>
  </si>
  <si>
    <t>0.48442576440515217</t>
  </si>
  <si>
    <t>2.59000</t>
  </si>
  <si>
    <t>72927.90000</t>
  </si>
  <si>
    <t>75373.62000</t>
  </si>
  <si>
    <t>3.03000</t>
  </si>
  <si>
    <t>53162.44000</t>
  </si>
  <si>
    <t>52775.58000</t>
  </si>
  <si>
    <t>0.6636744080030206</t>
  </si>
  <si>
    <t>146075.99000</t>
  </si>
  <si>
    <t>123994.82000</t>
  </si>
  <si>
    <t>0.6387430966187075</t>
  </si>
  <si>
    <t>93173.08000</t>
  </si>
  <si>
    <t>76075.61000</t>
  </si>
  <si>
    <t>0.3928582523773228</t>
  </si>
  <si>
    <t>79563.66000</t>
  </si>
  <si>
    <t>74062.43000</t>
  </si>
  <si>
    <t>0.43126838548368424</t>
  </si>
  <si>
    <t>70141.90000</t>
  </si>
  <si>
    <t>62351.50000</t>
  </si>
  <si>
    <t>0.6608400773699399</t>
  </si>
  <si>
    <t>322357.66000</t>
  </si>
  <si>
    <t>245722.94000</t>
  </si>
  <si>
    <t>0.2676883555916722</t>
  </si>
  <si>
    <t>40212.38000</t>
  </si>
  <si>
    <t>44689.79000</t>
  </si>
  <si>
    <t>5.60000</t>
  </si>
  <si>
    <t>2.94000</t>
  </si>
  <si>
    <t>12321.58000</t>
  </si>
  <si>
    <t>11090.30000</t>
  </si>
  <si>
    <t>0.6030300999507492</t>
  </si>
  <si>
    <t>49567.20000</t>
  </si>
  <si>
    <t>50051.89000</t>
  </si>
  <si>
    <t>0.3390012781403739</t>
  </si>
  <si>
    <t>4.05000</t>
  </si>
  <si>
    <t>111661.28000</t>
  </si>
  <si>
    <t>92239.23000</t>
  </si>
  <si>
    <t>0.46716653963529037</t>
  </si>
  <si>
    <t>32830.66000</t>
  </si>
  <si>
    <t>40255.30000</t>
  </si>
  <si>
    <t>0.2996048549061612</t>
  </si>
  <si>
    <t>39580.72000</t>
  </si>
  <si>
    <t>42682.75000</t>
  </si>
  <si>
    <t>0.5088874146812007</t>
  </si>
  <si>
    <t>1.82000</t>
  </si>
  <si>
    <t>6361.21000</t>
  </si>
  <si>
    <t>5416.37000</t>
  </si>
  <si>
    <t>0.28020208801959584</t>
  </si>
  <si>
    <t>3.36000</t>
  </si>
  <si>
    <t>61956.81000</t>
  </si>
  <si>
    <t>48860.45000</t>
  </si>
  <si>
    <t>24896.37000</t>
  </si>
  <si>
    <t>25389.80000</t>
  </si>
  <si>
    <t>0.5878221738883213</t>
  </si>
  <si>
    <t>7621.73000</t>
  </si>
  <si>
    <t>7084.76000</t>
  </si>
  <si>
    <t>0.5269354268959825</t>
  </si>
  <si>
    <t>8484.87000</t>
  </si>
  <si>
    <t>8969.70000</t>
  </si>
  <si>
    <t>0.4750264181161722</t>
  </si>
  <si>
    <t>3.85000</t>
  </si>
  <si>
    <t>30848.12000</t>
  </si>
  <si>
    <t>27866.29000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</si>
</sst>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name val="Arial"/>
      <charset val="134"/>
    </font>
    <font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wrapText="1"/>
    </xf>
    <xf numFmtId="0" fontId="3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zoomScale="70" zoomScaleNormal="70" topLeftCell="B1" workbookViewId="0">
      <selection activeCell="O1" sqref="O$1:Q$1048576"/>
    </sheetView>
  </sheetViews>
  <sheetFormatPr defaultColWidth="9" defaultRowHeight="13.5"/>
  <cols>
    <col min="2" max="2" width="11.3097345132743" customWidth="1"/>
    <col min="3" max="3" width="9.24778761061947" customWidth="1"/>
    <col min="4" max="4" width="11.3097345132743" customWidth="1"/>
    <col min="5" max="7" width="22.0796460176991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0.5840707964602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19</v>
      </c>
      <c r="C3" s="3" t="s">
        <v>20</v>
      </c>
      <c r="D3" s="1">
        <v>0.931</v>
      </c>
      <c r="E3" s="3" t="s">
        <v>21</v>
      </c>
      <c r="F3" s="3" t="s">
        <v>22</v>
      </c>
      <c r="G3" s="3">
        <v>12409.6411836763</v>
      </c>
      <c r="H3" s="1">
        <v>174</v>
      </c>
      <c r="I3" s="5">
        <v>79.41</v>
      </c>
      <c r="J3">
        <f>E3/F3</f>
        <v>1.89109819593802</v>
      </c>
      <c r="K3" s="1">
        <v>94331</v>
      </c>
      <c r="L3" s="1">
        <v>94331</v>
      </c>
      <c r="M3" s="1">
        <v>128</v>
      </c>
      <c r="N3" s="7" t="s">
        <v>23</v>
      </c>
    </row>
    <row r="4" ht="14.25" spans="1:14">
      <c r="A4" s="1" t="s">
        <v>24</v>
      </c>
      <c r="B4" s="3" t="s">
        <v>25</v>
      </c>
      <c r="C4" s="3" t="s">
        <v>26</v>
      </c>
      <c r="D4" s="1">
        <v>0.801</v>
      </c>
      <c r="E4" s="3" t="s">
        <v>27</v>
      </c>
      <c r="F4" s="3" t="s">
        <v>28</v>
      </c>
      <c r="G4" s="3">
        <v>3529.3746947203</v>
      </c>
      <c r="H4" s="1">
        <v>38</v>
      </c>
      <c r="I4" s="5">
        <v>60.58</v>
      </c>
      <c r="J4">
        <f t="shared" ref="J4:J33" si="0">E4/F4</f>
        <v>1.10437866686426</v>
      </c>
      <c r="K4" s="1">
        <v>89762</v>
      </c>
      <c r="L4" s="1">
        <v>89762</v>
      </c>
      <c r="M4" s="1">
        <v>56</v>
      </c>
      <c r="N4" s="7" t="s">
        <v>29</v>
      </c>
    </row>
    <row r="5" ht="14.25" spans="1:14">
      <c r="A5" s="1" t="s">
        <v>30</v>
      </c>
      <c r="B5" s="3" t="s">
        <v>31</v>
      </c>
      <c r="C5" s="3" t="s">
        <v>32</v>
      </c>
      <c r="D5" s="1">
        <v>0.051</v>
      </c>
      <c r="E5" s="3" t="s">
        <v>33</v>
      </c>
      <c r="F5" s="3" t="s">
        <v>34</v>
      </c>
      <c r="G5" s="3">
        <v>4295.34091942157</v>
      </c>
      <c r="H5" s="1">
        <v>52</v>
      </c>
      <c r="I5" s="5">
        <v>32.42</v>
      </c>
      <c r="J5">
        <f t="shared" si="0"/>
        <v>1.61151479366868</v>
      </c>
      <c r="K5" s="1">
        <v>34012</v>
      </c>
      <c r="L5" s="1">
        <v>34012</v>
      </c>
      <c r="M5" s="1">
        <v>68</v>
      </c>
      <c r="N5" s="7" t="s">
        <v>35</v>
      </c>
    </row>
    <row r="6" ht="14.25" spans="1:14">
      <c r="A6" s="1" t="s">
        <v>36</v>
      </c>
      <c r="B6" s="3" t="s">
        <v>37</v>
      </c>
      <c r="C6" s="3" t="s">
        <v>38</v>
      </c>
      <c r="D6" s="1">
        <v>0.068</v>
      </c>
      <c r="E6" s="3" t="s">
        <v>39</v>
      </c>
      <c r="F6" s="3" t="s">
        <v>40</v>
      </c>
      <c r="G6" s="3">
        <v>1990.52384070756</v>
      </c>
      <c r="H6" s="1">
        <v>35</v>
      </c>
      <c r="I6" s="5">
        <v>33.41</v>
      </c>
      <c r="J6">
        <f t="shared" si="0"/>
        <v>1.86437602746779</v>
      </c>
      <c r="K6" s="1">
        <v>32266</v>
      </c>
      <c r="L6" s="1">
        <v>32266</v>
      </c>
      <c r="M6" s="1">
        <v>22</v>
      </c>
      <c r="N6" s="7" t="s">
        <v>41</v>
      </c>
    </row>
    <row r="7" ht="14.25" spans="1:14">
      <c r="A7" s="1" t="s">
        <v>42</v>
      </c>
      <c r="B7" s="3" t="s">
        <v>43</v>
      </c>
      <c r="C7" s="3" t="s">
        <v>44</v>
      </c>
      <c r="D7" s="1">
        <v>0.001</v>
      </c>
      <c r="E7" s="3" t="s">
        <v>45</v>
      </c>
      <c r="F7" s="3" t="s">
        <v>46</v>
      </c>
      <c r="G7" s="3">
        <v>1820.52875599966</v>
      </c>
      <c r="H7" s="1">
        <v>25</v>
      </c>
      <c r="I7" s="5">
        <v>28.89</v>
      </c>
      <c r="J7">
        <f t="shared" si="0"/>
        <v>1.24014104053373</v>
      </c>
      <c r="K7" s="1">
        <v>57979</v>
      </c>
      <c r="L7" s="1">
        <v>57979</v>
      </c>
      <c r="M7" s="1">
        <v>18</v>
      </c>
      <c r="N7" s="7" t="s">
        <v>47</v>
      </c>
    </row>
    <row r="8" ht="14.25" spans="1:14">
      <c r="A8" s="1" t="s">
        <v>48</v>
      </c>
      <c r="B8" s="3" t="s">
        <v>49</v>
      </c>
      <c r="C8" s="3" t="s">
        <v>50</v>
      </c>
      <c r="D8" s="1">
        <v>0.23</v>
      </c>
      <c r="E8" s="3" t="s">
        <v>51</v>
      </c>
      <c r="F8" s="3" t="s">
        <v>52</v>
      </c>
      <c r="G8" s="3">
        <v>3179.50109014707</v>
      </c>
      <c r="H8" s="1">
        <v>62</v>
      </c>
      <c r="I8" s="5">
        <v>43.29</v>
      </c>
      <c r="J8">
        <f t="shared" si="0"/>
        <v>1.35038542396636</v>
      </c>
      <c r="K8" s="1">
        <v>50760</v>
      </c>
      <c r="L8" s="1">
        <v>50760</v>
      </c>
      <c r="M8" s="1">
        <v>9</v>
      </c>
      <c r="N8" s="7" t="s">
        <v>53</v>
      </c>
    </row>
    <row r="9" ht="14.25" spans="1:14">
      <c r="A9" s="1" t="s">
        <v>54</v>
      </c>
      <c r="B9" s="3" t="s">
        <v>55</v>
      </c>
      <c r="C9" s="3" t="s">
        <v>56</v>
      </c>
      <c r="D9" s="1">
        <v>0.015</v>
      </c>
      <c r="E9" s="3" t="s">
        <v>57</v>
      </c>
      <c r="F9" s="3" t="s">
        <v>58</v>
      </c>
      <c r="G9" s="3">
        <v>1633.73183152413</v>
      </c>
      <c r="H9" s="1">
        <v>40</v>
      </c>
      <c r="I9" s="5">
        <v>24.51</v>
      </c>
      <c r="J9">
        <f t="shared" si="0"/>
        <v>1.330218786783</v>
      </c>
      <c r="K9" s="1">
        <v>38402</v>
      </c>
      <c r="L9" s="1">
        <v>38402</v>
      </c>
      <c r="M9" s="1">
        <v>6</v>
      </c>
      <c r="N9" s="7" t="s">
        <v>59</v>
      </c>
    </row>
    <row r="10" ht="14.25" spans="1:14">
      <c r="A10" s="1" t="s">
        <v>60</v>
      </c>
      <c r="B10" s="3" t="s">
        <v>61</v>
      </c>
      <c r="C10" s="3" t="s">
        <v>62</v>
      </c>
      <c r="D10" s="1">
        <v>0.006</v>
      </c>
      <c r="E10" s="3" t="s">
        <v>63</v>
      </c>
      <c r="F10" s="3" t="s">
        <v>64</v>
      </c>
      <c r="G10" s="3">
        <v>1509.20054854044</v>
      </c>
      <c r="H10" s="1">
        <v>34</v>
      </c>
      <c r="I10" s="5">
        <v>33.58</v>
      </c>
      <c r="J10">
        <f t="shared" si="0"/>
        <v>1.64550113570214</v>
      </c>
      <c r="K10" s="1">
        <v>32879</v>
      </c>
      <c r="L10" s="1">
        <v>32879</v>
      </c>
      <c r="M10" s="1">
        <v>5</v>
      </c>
      <c r="N10" s="7" t="s">
        <v>65</v>
      </c>
    </row>
    <row r="11" ht="14.25" spans="1:14">
      <c r="A11" s="1" t="s">
        <v>66</v>
      </c>
      <c r="B11" s="3" t="s">
        <v>67</v>
      </c>
      <c r="C11" s="3" t="s">
        <v>68</v>
      </c>
      <c r="D11" s="1">
        <v>4.023</v>
      </c>
      <c r="E11" s="3" t="s">
        <v>69</v>
      </c>
      <c r="F11" s="3" t="s">
        <v>70</v>
      </c>
      <c r="G11" s="3">
        <v>7855.35426312992</v>
      </c>
      <c r="H11" s="1">
        <v>220</v>
      </c>
      <c r="I11" s="5">
        <v>80.19</v>
      </c>
      <c r="J11">
        <f t="shared" si="0"/>
        <v>1.56428767105979</v>
      </c>
      <c r="K11" s="1">
        <v>85673</v>
      </c>
      <c r="L11" s="1">
        <v>85673</v>
      </c>
      <c r="M11" s="1">
        <v>3</v>
      </c>
      <c r="N11" s="7" t="s">
        <v>71</v>
      </c>
    </row>
    <row r="12" ht="14.25" spans="1:14">
      <c r="A12" s="1" t="s">
        <v>72</v>
      </c>
      <c r="B12" s="3" t="s">
        <v>73</v>
      </c>
      <c r="C12" s="3" t="s">
        <v>74</v>
      </c>
      <c r="D12" s="1">
        <v>1.718</v>
      </c>
      <c r="E12" s="3" t="s">
        <v>75</v>
      </c>
      <c r="F12" s="3" t="s">
        <v>76</v>
      </c>
      <c r="G12" s="3">
        <v>11929.3062350249</v>
      </c>
      <c r="H12" s="1">
        <v>214</v>
      </c>
      <c r="I12" s="5">
        <v>62.08</v>
      </c>
      <c r="J12">
        <f t="shared" si="0"/>
        <v>1.3485438237762</v>
      </c>
      <c r="K12" s="1">
        <v>62290</v>
      </c>
      <c r="L12" s="1">
        <v>62290</v>
      </c>
      <c r="M12" s="1">
        <v>4</v>
      </c>
      <c r="N12" s="7" t="s">
        <v>77</v>
      </c>
    </row>
    <row r="13" ht="14.25" spans="1:14">
      <c r="A13" s="1" t="s">
        <v>78</v>
      </c>
      <c r="B13" s="3" t="s">
        <v>79</v>
      </c>
      <c r="C13" s="3" t="s">
        <v>80</v>
      </c>
      <c r="D13" s="1">
        <v>0.237</v>
      </c>
      <c r="E13" s="3" t="s">
        <v>81</v>
      </c>
      <c r="F13" s="3" t="s">
        <v>82</v>
      </c>
      <c r="G13" s="3">
        <v>9818.20448539665</v>
      </c>
      <c r="H13" s="1">
        <v>193</v>
      </c>
      <c r="I13" s="5">
        <v>77.39</v>
      </c>
      <c r="J13">
        <f t="shared" si="0"/>
        <v>1.14376211275346</v>
      </c>
      <c r="K13" s="1">
        <v>60011</v>
      </c>
      <c r="L13" s="1">
        <v>60011</v>
      </c>
      <c r="M13" s="1">
        <v>5</v>
      </c>
      <c r="N13" s="7" t="s">
        <v>83</v>
      </c>
    </row>
    <row r="14" ht="14.25" spans="1:14">
      <c r="A14" s="1" t="s">
        <v>84</v>
      </c>
      <c r="B14" s="3" t="s">
        <v>79</v>
      </c>
      <c r="C14" s="3" t="s">
        <v>85</v>
      </c>
      <c r="D14" s="1">
        <v>0.045</v>
      </c>
      <c r="E14" s="3" t="s">
        <v>86</v>
      </c>
      <c r="F14" s="3" t="s">
        <v>87</v>
      </c>
      <c r="G14" s="3">
        <v>3804.13419209701</v>
      </c>
      <c r="H14" s="1">
        <v>77</v>
      </c>
      <c r="I14" s="5">
        <v>33.07</v>
      </c>
      <c r="J14">
        <f t="shared" si="0"/>
        <v>1.38003021659936</v>
      </c>
      <c r="K14" s="1">
        <v>25660</v>
      </c>
      <c r="L14" s="1">
        <v>25660</v>
      </c>
      <c r="M14" s="1">
        <v>3</v>
      </c>
      <c r="N14" s="7" t="s">
        <v>88</v>
      </c>
    </row>
    <row r="15" ht="14.25" spans="1:14">
      <c r="A15" s="1" t="s">
        <v>89</v>
      </c>
      <c r="B15" s="3" t="s">
        <v>90</v>
      </c>
      <c r="C15" s="3" t="s">
        <v>91</v>
      </c>
      <c r="D15" s="1">
        <v>1.023</v>
      </c>
      <c r="E15" s="3" t="s">
        <v>92</v>
      </c>
      <c r="F15" s="3" t="s">
        <v>93</v>
      </c>
      <c r="G15" s="3">
        <v>4423.82557646823</v>
      </c>
      <c r="H15" s="1">
        <v>82</v>
      </c>
      <c r="I15" s="5">
        <v>61.76</v>
      </c>
      <c r="J15">
        <f t="shared" si="0"/>
        <v>1.11187378903661</v>
      </c>
      <c r="K15" s="1">
        <v>47377</v>
      </c>
      <c r="L15" s="1">
        <v>47377</v>
      </c>
      <c r="M15" s="1">
        <v>2</v>
      </c>
      <c r="N15" s="7" t="s">
        <v>94</v>
      </c>
    </row>
    <row r="16" ht="14.25" spans="1:14">
      <c r="A16" s="1" t="s">
        <v>95</v>
      </c>
      <c r="B16" s="3" t="s">
        <v>96</v>
      </c>
      <c r="C16" s="3" t="s">
        <v>97</v>
      </c>
      <c r="D16" s="1">
        <v>0.142</v>
      </c>
      <c r="E16" s="3" t="s">
        <v>98</v>
      </c>
      <c r="F16" s="3" t="s">
        <v>99</v>
      </c>
      <c r="G16" s="3">
        <v>2715.96798126334</v>
      </c>
      <c r="H16" s="1">
        <v>37</v>
      </c>
      <c r="I16" s="5">
        <v>29.74</v>
      </c>
      <c r="J16">
        <f t="shared" si="0"/>
        <v>1.53968898994297</v>
      </c>
      <c r="K16" s="1">
        <v>26150</v>
      </c>
      <c r="L16" s="1">
        <v>26150</v>
      </c>
      <c r="M16" s="1">
        <v>3</v>
      </c>
      <c r="N16" s="7" t="s">
        <v>100</v>
      </c>
    </row>
    <row r="17" ht="14.25" spans="1:14">
      <c r="A17" s="1" t="s">
        <v>101</v>
      </c>
      <c r="B17" s="3" t="s">
        <v>102</v>
      </c>
      <c r="C17" s="3" t="s">
        <v>103</v>
      </c>
      <c r="D17" s="1">
        <v>0.411</v>
      </c>
      <c r="E17" s="3" t="s">
        <v>104</v>
      </c>
      <c r="F17" s="3" t="s">
        <v>105</v>
      </c>
      <c r="G17" s="3">
        <v>7508.44568910392</v>
      </c>
      <c r="H17" s="1">
        <v>133</v>
      </c>
      <c r="I17" s="5">
        <v>38.55</v>
      </c>
      <c r="J17">
        <f t="shared" si="0"/>
        <v>1.25531529879555</v>
      </c>
      <c r="K17" s="1">
        <v>46080</v>
      </c>
      <c r="L17" s="1">
        <v>46080</v>
      </c>
      <c r="M17" s="1">
        <v>2</v>
      </c>
      <c r="N17" s="7" t="s">
        <v>106</v>
      </c>
    </row>
    <row r="18" ht="14.25" spans="1:14">
      <c r="A18" s="1" t="s">
        <v>107</v>
      </c>
      <c r="B18" s="3" t="s">
        <v>108</v>
      </c>
      <c r="C18" s="3" t="s">
        <v>109</v>
      </c>
      <c r="D18" s="1">
        <v>0.241</v>
      </c>
      <c r="E18" s="3" t="s">
        <v>110</v>
      </c>
      <c r="F18" s="3" t="s">
        <v>111</v>
      </c>
      <c r="G18" s="3">
        <v>4555.27526406213</v>
      </c>
      <c r="H18" s="1">
        <v>63</v>
      </c>
      <c r="I18" s="5">
        <v>28.4</v>
      </c>
      <c r="J18">
        <f t="shared" si="0"/>
        <v>1.51708038461321</v>
      </c>
      <c r="K18" s="1">
        <v>28367</v>
      </c>
      <c r="L18" s="1">
        <v>28367</v>
      </c>
      <c r="M18" s="1">
        <v>1</v>
      </c>
      <c r="N18" s="7" t="s">
        <v>112</v>
      </c>
    </row>
    <row r="19" ht="14.25" spans="1:14">
      <c r="A19" s="1" t="s">
        <v>113</v>
      </c>
      <c r="B19" s="3" t="s">
        <v>114</v>
      </c>
      <c r="C19" s="3" t="s">
        <v>115</v>
      </c>
      <c r="D19" s="1">
        <v>0.31</v>
      </c>
      <c r="E19" s="3" t="s">
        <v>116</v>
      </c>
      <c r="F19" s="3" t="s">
        <v>117</v>
      </c>
      <c r="G19" s="3">
        <v>4124.35749119793</v>
      </c>
      <c r="H19" s="1">
        <v>77</v>
      </c>
      <c r="I19" s="5">
        <v>39.82</v>
      </c>
      <c r="J19">
        <f t="shared" si="0"/>
        <v>1.47504752924464</v>
      </c>
      <c r="K19" s="1">
        <v>34140</v>
      </c>
      <c r="L19" s="1">
        <v>34140</v>
      </c>
      <c r="M19" s="1">
        <v>2</v>
      </c>
      <c r="N19" s="7" t="s">
        <v>118</v>
      </c>
    </row>
    <row r="20" ht="14.25" spans="1:14">
      <c r="A20" s="1" t="s">
        <v>119</v>
      </c>
      <c r="B20" s="3" t="s">
        <v>120</v>
      </c>
      <c r="C20" s="3" t="s">
        <v>121</v>
      </c>
      <c r="D20" s="1">
        <v>0.076</v>
      </c>
      <c r="E20" s="3" t="s">
        <v>122</v>
      </c>
      <c r="F20" s="3" t="s">
        <v>123</v>
      </c>
      <c r="G20" s="3">
        <v>3751.7519857626</v>
      </c>
      <c r="H20" s="1">
        <v>70</v>
      </c>
      <c r="I20" s="5">
        <v>32.68</v>
      </c>
      <c r="J20">
        <f t="shared" si="0"/>
        <v>1.4443156917363</v>
      </c>
      <c r="K20" s="1">
        <v>30127</v>
      </c>
      <c r="L20" s="1">
        <v>30127</v>
      </c>
      <c r="M20" s="1">
        <v>1</v>
      </c>
      <c r="N20" s="7" t="s">
        <v>124</v>
      </c>
    </row>
    <row r="21" ht="14.25" spans="1:14">
      <c r="A21" s="1" t="s">
        <v>125</v>
      </c>
      <c r="B21" s="3" t="s">
        <v>126</v>
      </c>
      <c r="C21" s="3" t="s">
        <v>62</v>
      </c>
      <c r="D21" s="1">
        <v>0.99</v>
      </c>
      <c r="E21" s="3" t="s">
        <v>127</v>
      </c>
      <c r="F21" s="3" t="s">
        <v>128</v>
      </c>
      <c r="G21" s="3">
        <v>13664.8374486706</v>
      </c>
      <c r="H21" s="1">
        <v>333</v>
      </c>
      <c r="I21" s="5">
        <v>69.48</v>
      </c>
      <c r="J21">
        <f t="shared" si="0"/>
        <v>1.56256466958183</v>
      </c>
      <c r="K21" s="1">
        <v>50842</v>
      </c>
      <c r="L21" s="1">
        <v>50842</v>
      </c>
      <c r="M21" s="1">
        <v>1</v>
      </c>
      <c r="N21" s="7" t="s">
        <v>129</v>
      </c>
    </row>
    <row r="22" ht="14.25" spans="1:14">
      <c r="A22" s="1" t="s">
        <v>130</v>
      </c>
      <c r="B22" s="3" t="s">
        <v>19</v>
      </c>
      <c r="C22" s="3" t="s">
        <v>131</v>
      </c>
      <c r="D22" s="1">
        <v>0.152</v>
      </c>
      <c r="E22" s="3" t="s">
        <v>132</v>
      </c>
      <c r="F22" s="3" t="s">
        <v>133</v>
      </c>
      <c r="G22" s="3">
        <v>2522.2526521776</v>
      </c>
      <c r="H22" s="1">
        <v>33</v>
      </c>
      <c r="I22" s="5">
        <v>33.89</v>
      </c>
      <c r="J22">
        <f t="shared" si="0"/>
        <v>1.27065786371582</v>
      </c>
      <c r="K22" s="1">
        <v>23982</v>
      </c>
      <c r="L22" s="1">
        <v>23982</v>
      </c>
      <c r="M22" s="1">
        <v>1</v>
      </c>
      <c r="N22" s="7" t="s">
        <v>134</v>
      </c>
    </row>
    <row r="23" ht="14.25" spans="1:14">
      <c r="A23" s="1" t="s">
        <v>135</v>
      </c>
      <c r="B23" s="3" t="s">
        <v>136</v>
      </c>
      <c r="C23" s="3" t="s">
        <v>137</v>
      </c>
      <c r="D23" s="1">
        <v>0.065</v>
      </c>
      <c r="E23" s="3" t="s">
        <v>138</v>
      </c>
      <c r="F23" s="3" t="s">
        <v>139</v>
      </c>
      <c r="G23" s="3">
        <v>974.506706523163</v>
      </c>
      <c r="H23" s="1">
        <v>28</v>
      </c>
      <c r="I23" s="5">
        <v>45.56</v>
      </c>
      <c r="J23">
        <f t="shared" si="0"/>
        <v>1.41005262021104</v>
      </c>
      <c r="K23" s="1">
        <v>28838</v>
      </c>
      <c r="L23" s="1">
        <v>28838</v>
      </c>
      <c r="M23" s="1">
        <v>0</v>
      </c>
      <c r="N23" s="7" t="s">
        <v>140</v>
      </c>
    </row>
    <row r="24" ht="14.25" spans="1:14">
      <c r="A24" s="1" t="s">
        <v>141</v>
      </c>
      <c r="B24" s="3" t="s">
        <v>142</v>
      </c>
      <c r="C24" s="3" t="s">
        <v>109</v>
      </c>
      <c r="D24" s="1">
        <v>0.36</v>
      </c>
      <c r="E24" s="3" t="s">
        <v>143</v>
      </c>
      <c r="F24" s="3" t="s">
        <v>144</v>
      </c>
      <c r="G24" s="3">
        <v>3452.2839004923</v>
      </c>
      <c r="H24" s="1">
        <v>41</v>
      </c>
      <c r="I24" s="5">
        <v>41.89</v>
      </c>
      <c r="J24">
        <f t="shared" si="0"/>
        <v>1.22233227941154</v>
      </c>
      <c r="K24" s="1">
        <v>34500</v>
      </c>
      <c r="L24" s="1">
        <v>34500</v>
      </c>
      <c r="M24" s="1">
        <v>0</v>
      </c>
      <c r="N24" s="7" t="s">
        <v>145</v>
      </c>
    </row>
    <row r="25" ht="14.25" spans="1:14">
      <c r="A25" s="1" t="s">
        <v>146</v>
      </c>
      <c r="B25" s="3" t="s">
        <v>147</v>
      </c>
      <c r="C25" s="3" t="s">
        <v>148</v>
      </c>
      <c r="D25" s="1">
        <v>0.281</v>
      </c>
      <c r="E25" s="3" t="s">
        <v>149</v>
      </c>
      <c r="F25" s="3" t="s">
        <v>150</v>
      </c>
      <c r="G25" s="3">
        <v>5551.52552793165</v>
      </c>
      <c r="H25" s="1">
        <v>83</v>
      </c>
      <c r="I25" s="5">
        <v>40.16</v>
      </c>
      <c r="J25">
        <f t="shared" si="0"/>
        <v>1.55329362807433</v>
      </c>
      <c r="K25" s="1">
        <v>25945</v>
      </c>
      <c r="L25" s="1">
        <v>25945</v>
      </c>
      <c r="M25" s="1">
        <v>0</v>
      </c>
      <c r="N25" s="7" t="s">
        <v>151</v>
      </c>
    </row>
    <row r="26" ht="14.25" spans="1:14">
      <c r="A26" s="1" t="s">
        <v>152</v>
      </c>
      <c r="B26" s="3" t="s">
        <v>153</v>
      </c>
      <c r="C26" s="3" t="s">
        <v>154</v>
      </c>
      <c r="D26" s="1">
        <v>0.007</v>
      </c>
      <c r="E26" s="3" t="s">
        <v>155</v>
      </c>
      <c r="F26" s="3" t="s">
        <v>156</v>
      </c>
      <c r="G26" s="3">
        <v>1963.83856578248</v>
      </c>
      <c r="H26" s="1">
        <v>19</v>
      </c>
      <c r="I26" s="5">
        <v>18.47</v>
      </c>
      <c r="J26">
        <f t="shared" si="0"/>
        <v>1.27571066008305</v>
      </c>
      <c r="K26" s="1">
        <v>16117</v>
      </c>
      <c r="L26" s="1">
        <v>16117</v>
      </c>
      <c r="M26" s="1">
        <v>0</v>
      </c>
      <c r="N26" s="7" t="s">
        <v>157</v>
      </c>
    </row>
    <row r="27" ht="14.25" spans="1:14">
      <c r="A27" s="1" t="s">
        <v>158</v>
      </c>
      <c r="B27" s="3" t="s">
        <v>159</v>
      </c>
      <c r="C27" s="3" t="s">
        <v>160</v>
      </c>
      <c r="D27" s="1">
        <v>0.009</v>
      </c>
      <c r="E27" s="3" t="s">
        <v>161</v>
      </c>
      <c r="F27" s="3" t="s">
        <v>162</v>
      </c>
      <c r="G27" s="3">
        <v>2249.46984183237</v>
      </c>
      <c r="H27" s="1">
        <v>29</v>
      </c>
      <c r="I27" s="5">
        <v>24.91</v>
      </c>
      <c r="J27">
        <f t="shared" si="0"/>
        <v>1.24964849761076</v>
      </c>
      <c r="K27" s="1">
        <v>19167</v>
      </c>
      <c r="L27" s="1">
        <v>19167</v>
      </c>
      <c r="M27" s="1">
        <v>0</v>
      </c>
      <c r="N27" s="7" t="s">
        <v>163</v>
      </c>
    </row>
    <row r="28" ht="14.25" spans="1:14">
      <c r="A28" s="1" t="s">
        <v>164</v>
      </c>
      <c r="B28" s="3" t="s">
        <v>165</v>
      </c>
      <c r="C28" s="3" t="s">
        <v>166</v>
      </c>
      <c r="D28" s="1">
        <v>0</v>
      </c>
      <c r="E28" s="3" t="s">
        <v>167</v>
      </c>
      <c r="F28" s="3" t="s">
        <v>168</v>
      </c>
      <c r="G28" s="3">
        <v>264.876062219278</v>
      </c>
      <c r="H28" s="1">
        <v>9</v>
      </c>
      <c r="I28" s="5">
        <v>16.22</v>
      </c>
      <c r="J28">
        <f t="shared" si="0"/>
        <v>4.06429531842073</v>
      </c>
      <c r="K28" s="1">
        <v>20252</v>
      </c>
      <c r="L28" s="1">
        <v>20252</v>
      </c>
      <c r="M28" s="1">
        <v>0</v>
      </c>
      <c r="N28" s="7" t="s">
        <v>169</v>
      </c>
    </row>
    <row r="29" ht="14.25" spans="1:14">
      <c r="A29" s="1" t="s">
        <v>170</v>
      </c>
      <c r="B29" s="3" t="s">
        <v>108</v>
      </c>
      <c r="C29" s="3" t="s">
        <v>171</v>
      </c>
      <c r="D29" s="1">
        <v>0.015</v>
      </c>
      <c r="E29" s="3" t="s">
        <v>172</v>
      </c>
      <c r="F29" s="3" t="s">
        <v>173</v>
      </c>
      <c r="G29" s="3">
        <v>2882.00969190826</v>
      </c>
      <c r="H29" s="1">
        <v>38</v>
      </c>
      <c r="I29" s="5">
        <v>40.96</v>
      </c>
      <c r="J29">
        <f t="shared" si="0"/>
        <v>1.58937118199929</v>
      </c>
      <c r="K29" s="1">
        <v>33127</v>
      </c>
      <c r="L29" s="1">
        <v>33127</v>
      </c>
      <c r="M29" s="1">
        <v>0</v>
      </c>
      <c r="N29" s="7" t="s">
        <v>174</v>
      </c>
    </row>
    <row r="30" ht="14.25" spans="1:14">
      <c r="A30" s="1" t="s">
        <v>175</v>
      </c>
      <c r="B30" s="3" t="s">
        <v>176</v>
      </c>
      <c r="C30" s="3" t="s">
        <v>115</v>
      </c>
      <c r="D30" s="1">
        <v>0.011</v>
      </c>
      <c r="E30" s="3" t="s">
        <v>177</v>
      </c>
      <c r="F30" s="3" t="s">
        <v>178</v>
      </c>
      <c r="G30" s="3">
        <v>1299.6717232028</v>
      </c>
      <c r="H30" s="1">
        <v>24</v>
      </c>
      <c r="I30" s="5">
        <v>18.84</v>
      </c>
      <c r="J30">
        <f t="shared" si="0"/>
        <v>1.47500784491475</v>
      </c>
      <c r="K30" s="1">
        <v>19638</v>
      </c>
      <c r="L30" s="1">
        <v>19638</v>
      </c>
      <c r="M30" s="1">
        <v>0</v>
      </c>
      <c r="N30" s="7" t="s">
        <v>179</v>
      </c>
    </row>
    <row r="31" ht="14.25" spans="1:14">
      <c r="A31" s="1" t="s">
        <v>180</v>
      </c>
      <c r="B31" s="3" t="s">
        <v>181</v>
      </c>
      <c r="C31" s="3" t="s">
        <v>182</v>
      </c>
      <c r="D31" s="1">
        <v>0.001</v>
      </c>
      <c r="E31" s="3" t="s">
        <v>183</v>
      </c>
      <c r="F31" s="3" t="s">
        <v>184</v>
      </c>
      <c r="G31" s="3">
        <v>416.092620128044</v>
      </c>
      <c r="H31" s="1">
        <v>10</v>
      </c>
      <c r="I31" s="5">
        <v>18.33</v>
      </c>
      <c r="J31">
        <f t="shared" si="0"/>
        <v>1.26611105900428</v>
      </c>
      <c r="K31" s="1">
        <v>29729</v>
      </c>
      <c r="L31" s="1">
        <v>29729</v>
      </c>
      <c r="M31" s="1">
        <v>0</v>
      </c>
      <c r="N31" s="7" t="s">
        <v>185</v>
      </c>
    </row>
    <row r="32" ht="14.25" spans="1:14">
      <c r="A32" s="1" t="s">
        <v>186</v>
      </c>
      <c r="B32" s="3" t="s">
        <v>114</v>
      </c>
      <c r="C32" s="3" t="s">
        <v>187</v>
      </c>
      <c r="D32" s="1">
        <v>0.002</v>
      </c>
      <c r="E32" s="3" t="s">
        <v>188</v>
      </c>
      <c r="F32" s="3" t="s">
        <v>189</v>
      </c>
      <c r="G32" s="3">
        <v>634.516537107374</v>
      </c>
      <c r="H32" s="1">
        <v>12</v>
      </c>
      <c r="I32" s="5">
        <v>31.31</v>
      </c>
      <c r="J32">
        <f t="shared" si="0"/>
        <v>1.02447682337888</v>
      </c>
      <c r="K32" s="1">
        <v>33043</v>
      </c>
      <c r="L32" s="1">
        <v>33043</v>
      </c>
      <c r="M32" s="1">
        <v>0</v>
      </c>
      <c r="N32" s="7" t="s">
        <v>190</v>
      </c>
    </row>
    <row r="33" ht="14.25" spans="1:14">
      <c r="A33" s="1" t="s">
        <v>191</v>
      </c>
      <c r="B33" s="3" t="s">
        <v>192</v>
      </c>
      <c r="C33" s="3" t="s">
        <v>109</v>
      </c>
      <c r="D33" s="1">
        <v>0.003</v>
      </c>
      <c r="E33" s="3" t="s">
        <v>193</v>
      </c>
      <c r="F33" s="3" t="s">
        <v>194</v>
      </c>
      <c r="G33" s="3">
        <v>1555.65269378038</v>
      </c>
      <c r="H33" s="1">
        <v>37</v>
      </c>
      <c r="I33" s="5">
        <v>20.34</v>
      </c>
      <c r="J33">
        <f t="shared" si="0"/>
        <v>1.58142926371263</v>
      </c>
      <c r="K33" s="1">
        <v>30314</v>
      </c>
      <c r="L33" s="1">
        <v>30314</v>
      </c>
      <c r="M33" s="1">
        <v>0</v>
      </c>
      <c r="N33" s="7" t="s">
        <v>195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zoomScale="70" zoomScaleNormal="70" topLeftCell="B1" workbookViewId="0">
      <selection activeCell="Q18" sqref="Q18"/>
    </sheetView>
  </sheetViews>
  <sheetFormatPr defaultColWidth="9" defaultRowHeight="13.5"/>
  <cols>
    <col min="2" max="2" width="11.3097345132743" customWidth="1"/>
    <col min="3" max="3" width="9.24778761061947" customWidth="1"/>
    <col min="4" max="4" width="11.3097345132743" customWidth="1"/>
    <col min="5" max="7" width="22.0796460176991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19.787610619469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196</v>
      </c>
      <c r="C3" s="3" t="s">
        <v>197</v>
      </c>
      <c r="D3" s="1">
        <v>0.91</v>
      </c>
      <c r="E3" s="3" t="s">
        <v>198</v>
      </c>
      <c r="F3" s="3" t="s">
        <v>199</v>
      </c>
      <c r="G3" s="3">
        <v>15248.3057342506</v>
      </c>
      <c r="H3" s="1">
        <v>196</v>
      </c>
      <c r="I3" s="5">
        <v>150.65</v>
      </c>
      <c r="J3">
        <f>E3/F3</f>
        <v>1.96430382384607</v>
      </c>
      <c r="K3" s="1">
        <v>106497</v>
      </c>
      <c r="L3" s="1">
        <v>106497</v>
      </c>
      <c r="M3" s="1">
        <v>186</v>
      </c>
      <c r="N3" s="7" t="s">
        <v>200</v>
      </c>
    </row>
    <row r="4" ht="14.25" spans="1:14">
      <c r="A4" s="1" t="s">
        <v>24</v>
      </c>
      <c r="B4" s="3" t="s">
        <v>201</v>
      </c>
      <c r="C4" s="3" t="s">
        <v>26</v>
      </c>
      <c r="D4" s="1">
        <v>0.936</v>
      </c>
      <c r="E4" s="3" t="s">
        <v>202</v>
      </c>
      <c r="F4" s="3" t="s">
        <v>203</v>
      </c>
      <c r="G4" s="3">
        <v>4336.7075324155</v>
      </c>
      <c r="H4" s="1">
        <v>40</v>
      </c>
      <c r="I4" s="5">
        <v>122.96</v>
      </c>
      <c r="J4">
        <f t="shared" ref="J4:J33" si="0">E4/F4</f>
        <v>1.10311461606659</v>
      </c>
      <c r="K4" s="1">
        <v>101685</v>
      </c>
      <c r="L4" s="1">
        <v>101685</v>
      </c>
      <c r="M4" s="1">
        <v>85</v>
      </c>
      <c r="N4" s="7" t="s">
        <v>204</v>
      </c>
    </row>
    <row r="5" ht="14.25" spans="1:14">
      <c r="A5" s="1" t="s">
        <v>30</v>
      </c>
      <c r="B5" s="3" t="s">
        <v>205</v>
      </c>
      <c r="C5" s="3" t="s">
        <v>206</v>
      </c>
      <c r="D5" s="1">
        <v>0.046</v>
      </c>
      <c r="E5" s="3" t="s">
        <v>207</v>
      </c>
      <c r="F5" s="3" t="s">
        <v>208</v>
      </c>
      <c r="G5" s="3">
        <v>5277.88600836678</v>
      </c>
      <c r="H5" s="1">
        <v>54</v>
      </c>
      <c r="I5" s="5">
        <v>89.32</v>
      </c>
      <c r="J5">
        <f t="shared" si="0"/>
        <v>1.60696239227393</v>
      </c>
      <c r="K5" s="1">
        <v>36756</v>
      </c>
      <c r="L5" s="1">
        <v>36756</v>
      </c>
      <c r="M5" s="1">
        <v>102</v>
      </c>
      <c r="N5" s="7" t="s">
        <v>209</v>
      </c>
    </row>
    <row r="6" ht="14.25" spans="1:14">
      <c r="A6" s="1" t="s">
        <v>36</v>
      </c>
      <c r="B6" s="3" t="s">
        <v>192</v>
      </c>
      <c r="C6" s="3" t="s">
        <v>210</v>
      </c>
      <c r="D6" s="1">
        <v>0.26</v>
      </c>
      <c r="E6" s="3" t="s">
        <v>211</v>
      </c>
      <c r="F6" s="3" t="s">
        <v>212</v>
      </c>
      <c r="G6" s="3">
        <v>2445.84961363339</v>
      </c>
      <c r="H6" s="1">
        <v>36</v>
      </c>
      <c r="I6" s="5">
        <v>92.98</v>
      </c>
      <c r="J6">
        <f t="shared" si="0"/>
        <v>1.82850665717984</v>
      </c>
      <c r="K6" s="1">
        <v>34814</v>
      </c>
      <c r="L6" s="1">
        <v>34814</v>
      </c>
      <c r="M6" s="1">
        <v>35</v>
      </c>
      <c r="N6" s="7" t="s">
        <v>213</v>
      </c>
    </row>
    <row r="7" ht="14.25" spans="1:14">
      <c r="A7" s="1" t="s">
        <v>42</v>
      </c>
      <c r="B7" s="3" t="s">
        <v>205</v>
      </c>
      <c r="C7" s="3" t="s">
        <v>214</v>
      </c>
      <c r="D7" s="1">
        <v>0</v>
      </c>
      <c r="E7" s="3" t="s">
        <v>215</v>
      </c>
      <c r="F7" s="3" t="s">
        <v>216</v>
      </c>
      <c r="G7" s="3">
        <v>2236.9687131642</v>
      </c>
      <c r="H7" s="1">
        <v>25</v>
      </c>
      <c r="I7" s="5">
        <v>91.68</v>
      </c>
      <c r="J7">
        <f t="shared" si="0"/>
        <v>1.20017046242541</v>
      </c>
      <c r="K7" s="1">
        <v>64260</v>
      </c>
      <c r="L7" s="1">
        <v>64260</v>
      </c>
      <c r="M7" s="1">
        <v>29</v>
      </c>
      <c r="N7" s="7" t="s">
        <v>217</v>
      </c>
    </row>
    <row r="8" ht="14.25" spans="1:14">
      <c r="A8" s="1" t="s">
        <v>48</v>
      </c>
      <c r="B8" s="3" t="s">
        <v>218</v>
      </c>
      <c r="C8" s="3" t="s">
        <v>103</v>
      </c>
      <c r="D8" s="1">
        <v>0.187</v>
      </c>
      <c r="E8" s="3" t="s">
        <v>219</v>
      </c>
      <c r="F8" s="3" t="s">
        <v>220</v>
      </c>
      <c r="G8" s="3">
        <v>3906.80149307776</v>
      </c>
      <c r="H8" s="1">
        <v>65</v>
      </c>
      <c r="I8" s="5">
        <v>103.53</v>
      </c>
      <c r="J8">
        <f t="shared" si="0"/>
        <v>1.34201322892116</v>
      </c>
      <c r="K8" s="1">
        <v>56524</v>
      </c>
      <c r="L8" s="1">
        <v>56524</v>
      </c>
      <c r="M8" s="1">
        <v>15</v>
      </c>
      <c r="N8" s="7" t="s">
        <v>221</v>
      </c>
    </row>
    <row r="9" ht="14.25" spans="1:14">
      <c r="A9" s="1" t="s">
        <v>54</v>
      </c>
      <c r="B9" s="3" t="s">
        <v>222</v>
      </c>
      <c r="C9" s="3" t="s">
        <v>165</v>
      </c>
      <c r="D9" s="1">
        <v>0.025</v>
      </c>
      <c r="E9" s="3" t="s">
        <v>223</v>
      </c>
      <c r="F9" s="3" t="s">
        <v>224</v>
      </c>
      <c r="G9" s="3">
        <v>2007.44260741608</v>
      </c>
      <c r="H9" s="1">
        <v>41</v>
      </c>
      <c r="I9" s="5">
        <v>87.23</v>
      </c>
      <c r="J9">
        <f t="shared" si="0"/>
        <v>1.38208040732231</v>
      </c>
      <c r="K9" s="1">
        <v>43175</v>
      </c>
      <c r="L9" s="1">
        <v>43175</v>
      </c>
      <c r="M9" s="1">
        <v>11</v>
      </c>
      <c r="N9" s="7" t="s">
        <v>225</v>
      </c>
    </row>
    <row r="10" ht="14.25" spans="1:14">
      <c r="A10" s="1" t="s">
        <v>60</v>
      </c>
      <c r="B10" s="3" t="s">
        <v>226</v>
      </c>
      <c r="C10" s="3" t="s">
        <v>227</v>
      </c>
      <c r="D10" s="1">
        <v>0.004</v>
      </c>
      <c r="E10" s="3" t="s">
        <v>228</v>
      </c>
      <c r="F10" s="3" t="s">
        <v>229</v>
      </c>
      <c r="G10" s="3">
        <v>1854.425203584</v>
      </c>
      <c r="H10" s="1">
        <v>35</v>
      </c>
      <c r="I10" s="5">
        <v>87.91</v>
      </c>
      <c r="J10">
        <f t="shared" si="0"/>
        <v>1.61216970925643</v>
      </c>
      <c r="K10" s="1">
        <v>35713</v>
      </c>
      <c r="L10" s="1">
        <v>35713</v>
      </c>
      <c r="M10" s="1">
        <v>9</v>
      </c>
      <c r="N10" s="7" t="s">
        <v>230</v>
      </c>
    </row>
    <row r="11" ht="14.25" spans="1:14">
      <c r="A11" s="1" t="s">
        <v>66</v>
      </c>
      <c r="B11" s="3" t="s">
        <v>231</v>
      </c>
      <c r="C11" s="3" t="s">
        <v>232</v>
      </c>
      <c r="D11" s="1">
        <v>3.895</v>
      </c>
      <c r="E11" s="3" t="s">
        <v>233</v>
      </c>
      <c r="F11" s="3" t="s">
        <v>234</v>
      </c>
      <c r="G11" s="3">
        <v>9652.24067982034</v>
      </c>
      <c r="H11" s="1">
        <v>242</v>
      </c>
      <c r="I11" s="5">
        <v>150.77</v>
      </c>
      <c r="J11">
        <f t="shared" si="0"/>
        <v>1.55079072813553</v>
      </c>
      <c r="K11" s="1">
        <v>90993</v>
      </c>
      <c r="L11" s="1">
        <v>90993</v>
      </c>
      <c r="M11" s="1">
        <v>6</v>
      </c>
      <c r="N11" s="7" t="s">
        <v>235</v>
      </c>
    </row>
    <row r="12" ht="14.25" spans="1:14">
      <c r="A12" s="1" t="s">
        <v>72</v>
      </c>
      <c r="B12" s="3" t="s">
        <v>192</v>
      </c>
      <c r="C12" s="3" t="s">
        <v>236</v>
      </c>
      <c r="D12" s="1">
        <v>2.153</v>
      </c>
      <c r="E12" s="3" t="s">
        <v>237</v>
      </c>
      <c r="F12" s="3" t="s">
        <v>238</v>
      </c>
      <c r="G12" s="3">
        <v>14658.0957480412</v>
      </c>
      <c r="H12" s="1">
        <v>235</v>
      </c>
      <c r="I12" s="5">
        <v>122.03</v>
      </c>
      <c r="J12">
        <f t="shared" si="0"/>
        <v>1.35454088095407</v>
      </c>
      <c r="K12" s="1">
        <v>68339</v>
      </c>
      <c r="L12" s="1">
        <v>68339</v>
      </c>
      <c r="M12" s="1">
        <v>7</v>
      </c>
      <c r="N12" s="6">
        <v>0</v>
      </c>
    </row>
    <row r="13" ht="14.25" spans="1:14">
      <c r="A13" s="1" t="s">
        <v>78</v>
      </c>
      <c r="B13" s="3" t="s">
        <v>239</v>
      </c>
      <c r="C13" s="3" t="s">
        <v>171</v>
      </c>
      <c r="D13" s="1">
        <v>0.196</v>
      </c>
      <c r="E13" s="3" t="s">
        <v>240</v>
      </c>
      <c r="F13" s="3" t="s">
        <v>241</v>
      </c>
      <c r="G13" s="3">
        <v>12064.0864259355</v>
      </c>
      <c r="H13" s="1">
        <v>211</v>
      </c>
      <c r="I13" s="5">
        <v>146.35</v>
      </c>
      <c r="J13">
        <f t="shared" si="0"/>
        <v>1.12048317890908</v>
      </c>
      <c r="K13" s="1">
        <v>64397</v>
      </c>
      <c r="L13" s="1">
        <v>64397</v>
      </c>
      <c r="M13" s="1">
        <v>8</v>
      </c>
      <c r="N13" s="7" t="s">
        <v>242</v>
      </c>
    </row>
    <row r="14" ht="14.25" spans="1:14">
      <c r="A14" s="1" t="s">
        <v>84</v>
      </c>
      <c r="B14" s="3" t="s">
        <v>243</v>
      </c>
      <c r="C14" s="3" t="s">
        <v>244</v>
      </c>
      <c r="D14" s="1">
        <v>0.053</v>
      </c>
      <c r="E14" s="3" t="s">
        <v>245</v>
      </c>
      <c r="F14" s="3" t="s">
        <v>246</v>
      </c>
      <c r="G14" s="3">
        <v>4674.31735991803</v>
      </c>
      <c r="H14" s="1">
        <v>82</v>
      </c>
      <c r="I14" s="5">
        <v>96.63</v>
      </c>
      <c r="J14">
        <f t="shared" si="0"/>
        <v>1.38203177098219</v>
      </c>
      <c r="K14" s="1">
        <v>28792</v>
      </c>
      <c r="L14" s="1">
        <v>28792</v>
      </c>
      <c r="M14" s="1">
        <v>5</v>
      </c>
      <c r="N14" s="7" t="s">
        <v>247</v>
      </c>
    </row>
    <row r="15" ht="14.25" spans="1:14">
      <c r="A15" s="1" t="s">
        <v>89</v>
      </c>
      <c r="B15" s="3" t="s">
        <v>248</v>
      </c>
      <c r="C15" s="3" t="s">
        <v>249</v>
      </c>
      <c r="D15" s="1">
        <v>0.965</v>
      </c>
      <c r="E15" s="3" t="s">
        <v>250</v>
      </c>
      <c r="F15" s="3" t="s">
        <v>251</v>
      </c>
      <c r="G15" s="3">
        <v>5435.76110755861</v>
      </c>
      <c r="H15" s="1">
        <v>87</v>
      </c>
      <c r="I15" s="5">
        <v>123.21</v>
      </c>
      <c r="J15">
        <f t="shared" si="0"/>
        <v>1.11728012484673</v>
      </c>
      <c r="K15" s="1">
        <v>52788</v>
      </c>
      <c r="L15" s="1">
        <v>52788</v>
      </c>
      <c r="M15" s="1">
        <v>4</v>
      </c>
      <c r="N15" s="7" t="s">
        <v>252</v>
      </c>
    </row>
    <row r="16" ht="14.25" spans="1:14">
      <c r="A16" s="1" t="s">
        <v>95</v>
      </c>
      <c r="B16" s="3" t="s">
        <v>176</v>
      </c>
      <c r="C16" s="3" t="s">
        <v>253</v>
      </c>
      <c r="D16" s="1">
        <v>0.174</v>
      </c>
      <c r="E16" s="3" t="s">
        <v>254</v>
      </c>
      <c r="F16" s="3" t="s">
        <v>255</v>
      </c>
      <c r="G16" s="3">
        <v>3337.23671214724</v>
      </c>
      <c r="H16" s="1">
        <v>39</v>
      </c>
      <c r="I16" s="5">
        <v>91.93</v>
      </c>
      <c r="J16">
        <f t="shared" si="0"/>
        <v>1.51974657382797</v>
      </c>
      <c r="K16" s="1">
        <v>28760</v>
      </c>
      <c r="L16" s="1">
        <v>28760</v>
      </c>
      <c r="M16" s="1">
        <v>5</v>
      </c>
      <c r="N16" s="7" t="s">
        <v>256</v>
      </c>
    </row>
    <row r="17" ht="14.25" spans="1:14">
      <c r="A17" s="1" t="s">
        <v>101</v>
      </c>
      <c r="B17" s="3" t="s">
        <v>257</v>
      </c>
      <c r="C17" s="3" t="s">
        <v>103</v>
      </c>
      <c r="D17" s="1">
        <v>0.296</v>
      </c>
      <c r="E17" s="3" t="s">
        <v>258</v>
      </c>
      <c r="F17" s="3" t="s">
        <v>259</v>
      </c>
      <c r="G17" s="3">
        <v>9225.9779120024</v>
      </c>
      <c r="H17" s="1">
        <v>145</v>
      </c>
      <c r="I17" s="5">
        <v>100.35</v>
      </c>
      <c r="J17">
        <f t="shared" si="0"/>
        <v>1.32854184611317</v>
      </c>
      <c r="K17" s="1">
        <v>50301</v>
      </c>
      <c r="L17" s="1">
        <v>50301</v>
      </c>
      <c r="M17" s="1">
        <v>3</v>
      </c>
      <c r="N17" s="7" t="s">
        <v>260</v>
      </c>
    </row>
    <row r="18" ht="14.25" spans="1:14">
      <c r="A18" s="1" t="s">
        <v>107</v>
      </c>
      <c r="B18" s="3" t="s">
        <v>79</v>
      </c>
      <c r="C18" s="3" t="s">
        <v>261</v>
      </c>
      <c r="D18" s="1">
        <v>0.622</v>
      </c>
      <c r="E18" s="3" t="s">
        <v>262</v>
      </c>
      <c r="F18" s="3" t="s">
        <v>263</v>
      </c>
      <c r="G18" s="3">
        <v>5597.27947827025</v>
      </c>
      <c r="H18" s="1">
        <v>66</v>
      </c>
      <c r="I18" s="5">
        <v>83.68</v>
      </c>
      <c r="J18">
        <f t="shared" si="0"/>
        <v>1.57994133222574</v>
      </c>
      <c r="K18" s="1">
        <v>31205</v>
      </c>
      <c r="L18" s="1">
        <v>31205</v>
      </c>
      <c r="M18" s="1">
        <v>2</v>
      </c>
      <c r="N18" s="7" t="s">
        <v>264</v>
      </c>
    </row>
    <row r="19" ht="14.25" spans="1:14">
      <c r="A19" s="1" t="s">
        <v>113</v>
      </c>
      <c r="B19" s="3" t="s">
        <v>25</v>
      </c>
      <c r="C19" s="3" t="s">
        <v>265</v>
      </c>
      <c r="D19" s="1">
        <v>0.26</v>
      </c>
      <c r="E19" s="3" t="s">
        <v>266</v>
      </c>
      <c r="F19" s="3" t="s">
        <v>267</v>
      </c>
      <c r="G19" s="3">
        <v>5067.79068405766</v>
      </c>
      <c r="H19" s="1">
        <v>82</v>
      </c>
      <c r="I19" s="5">
        <v>101.42</v>
      </c>
      <c r="J19">
        <f t="shared" si="0"/>
        <v>1.48822003004057</v>
      </c>
      <c r="K19" s="1">
        <v>38434</v>
      </c>
      <c r="L19" s="1">
        <v>38434</v>
      </c>
      <c r="M19" s="1">
        <v>3</v>
      </c>
      <c r="N19" s="7" t="s">
        <v>268</v>
      </c>
    </row>
    <row r="20" ht="14.25" spans="1:14">
      <c r="A20" s="1" t="s">
        <v>119</v>
      </c>
      <c r="B20" s="3" t="s">
        <v>79</v>
      </c>
      <c r="C20" s="3" t="s">
        <v>103</v>
      </c>
      <c r="D20" s="1">
        <v>0.177</v>
      </c>
      <c r="E20" s="3" t="s">
        <v>269</v>
      </c>
      <c r="F20" s="3" t="s">
        <v>270</v>
      </c>
      <c r="G20" s="3">
        <v>4609.95289640136</v>
      </c>
      <c r="H20" s="1">
        <v>74</v>
      </c>
      <c r="I20" s="5">
        <v>93.71</v>
      </c>
      <c r="J20">
        <f t="shared" si="0"/>
        <v>1.47924829010154</v>
      </c>
      <c r="K20" s="1">
        <v>33768</v>
      </c>
      <c r="L20" s="1">
        <v>33768</v>
      </c>
      <c r="M20" s="1">
        <v>2</v>
      </c>
      <c r="N20" s="7" t="s">
        <v>271</v>
      </c>
    </row>
    <row r="21" ht="14.25" spans="1:14">
      <c r="A21" s="1" t="s">
        <v>125</v>
      </c>
      <c r="B21" s="3" t="s">
        <v>226</v>
      </c>
      <c r="C21" s="3" t="s">
        <v>272</v>
      </c>
      <c r="D21" s="1">
        <v>1.007</v>
      </c>
      <c r="E21" s="3" t="s">
        <v>273</v>
      </c>
      <c r="F21" s="3" t="s">
        <v>274</v>
      </c>
      <c r="G21" s="3">
        <v>16790.6240109708</v>
      </c>
      <c r="H21" s="1">
        <v>362</v>
      </c>
      <c r="I21" s="5">
        <v>127.06</v>
      </c>
      <c r="J21">
        <f t="shared" si="0"/>
        <v>1.56684742388905</v>
      </c>
      <c r="K21" s="1">
        <v>54095</v>
      </c>
      <c r="L21" s="1">
        <v>54095</v>
      </c>
      <c r="M21" s="1">
        <v>1</v>
      </c>
      <c r="N21" s="7" t="s">
        <v>275</v>
      </c>
    </row>
    <row r="22" ht="14.25" spans="1:14">
      <c r="A22" s="1" t="s">
        <v>130</v>
      </c>
      <c r="B22" s="3" t="s">
        <v>196</v>
      </c>
      <c r="C22" s="3" t="s">
        <v>276</v>
      </c>
      <c r="D22" s="1">
        <v>0.317</v>
      </c>
      <c r="E22" s="3" t="s">
        <v>277</v>
      </c>
      <c r="F22" s="3" t="s">
        <v>278</v>
      </c>
      <c r="G22" s="3">
        <v>3099.20963951956</v>
      </c>
      <c r="H22" s="1">
        <v>34</v>
      </c>
      <c r="I22" s="5">
        <v>89.35</v>
      </c>
      <c r="J22">
        <f t="shared" si="0"/>
        <v>1.29226855688793</v>
      </c>
      <c r="K22" s="1">
        <v>26547</v>
      </c>
      <c r="L22" s="1">
        <v>26547</v>
      </c>
      <c r="M22" s="1">
        <v>1</v>
      </c>
      <c r="N22" s="7" t="s">
        <v>279</v>
      </c>
    </row>
    <row r="23" ht="14.25" spans="1:14">
      <c r="A23" s="1" t="s">
        <v>135</v>
      </c>
      <c r="B23" s="3" t="s">
        <v>280</v>
      </c>
      <c r="C23" s="3" t="s">
        <v>281</v>
      </c>
      <c r="D23" s="1">
        <v>0.054</v>
      </c>
      <c r="E23" s="3" t="s">
        <v>282</v>
      </c>
      <c r="F23" s="3" t="s">
        <v>283</v>
      </c>
      <c r="G23" s="3">
        <v>1197.42190617801</v>
      </c>
      <c r="H23" s="1">
        <v>29</v>
      </c>
      <c r="I23" s="5">
        <v>102.94</v>
      </c>
      <c r="J23">
        <f t="shared" si="0"/>
        <v>1.3136725086962</v>
      </c>
      <c r="K23" s="1">
        <v>32377</v>
      </c>
      <c r="L23" s="1">
        <v>32377</v>
      </c>
      <c r="M23" s="1">
        <v>1</v>
      </c>
      <c r="N23" s="7" t="s">
        <v>284</v>
      </c>
    </row>
    <row r="24" ht="14.25" spans="1:14">
      <c r="A24" s="1" t="s">
        <v>141</v>
      </c>
      <c r="B24" s="3" t="s">
        <v>285</v>
      </c>
      <c r="C24" s="3" t="s">
        <v>286</v>
      </c>
      <c r="D24" s="1">
        <v>0.949</v>
      </c>
      <c r="E24" s="3" t="s">
        <v>287</v>
      </c>
      <c r="F24" s="3" t="s">
        <v>288</v>
      </c>
      <c r="G24" s="3">
        <v>4241.98247290041</v>
      </c>
      <c r="H24" s="1">
        <v>43</v>
      </c>
      <c r="I24" s="5">
        <v>100.02</v>
      </c>
      <c r="J24">
        <f t="shared" si="0"/>
        <v>1.24558649444857</v>
      </c>
      <c r="K24" s="1">
        <v>39270</v>
      </c>
      <c r="L24" s="1">
        <v>39270</v>
      </c>
      <c r="M24" s="1">
        <v>1</v>
      </c>
      <c r="N24" s="7" t="s">
        <v>289</v>
      </c>
    </row>
    <row r="25" ht="14.25" spans="1:14">
      <c r="A25" s="1" t="s">
        <v>146</v>
      </c>
      <c r="B25" s="3" t="s">
        <v>290</v>
      </c>
      <c r="C25" s="3" t="s">
        <v>291</v>
      </c>
      <c r="D25" s="1">
        <v>0.401</v>
      </c>
      <c r="E25" s="3" t="s">
        <v>292</v>
      </c>
      <c r="F25" s="3" t="s">
        <v>293</v>
      </c>
      <c r="G25" s="3">
        <v>6821.41870892688</v>
      </c>
      <c r="H25" s="1">
        <v>88</v>
      </c>
      <c r="I25" s="5">
        <v>100.13</v>
      </c>
      <c r="J25">
        <f t="shared" si="0"/>
        <v>1.58912979083256</v>
      </c>
      <c r="K25" s="1">
        <v>29325</v>
      </c>
      <c r="L25" s="1">
        <v>29325</v>
      </c>
      <c r="M25" s="1">
        <v>0</v>
      </c>
      <c r="N25" s="7" t="s">
        <v>294</v>
      </c>
    </row>
    <row r="26" ht="14.25" spans="1:14">
      <c r="A26" s="1" t="s">
        <v>152</v>
      </c>
      <c r="B26" s="3" t="s">
        <v>136</v>
      </c>
      <c r="C26" s="3" t="s">
        <v>295</v>
      </c>
      <c r="D26" s="1">
        <v>0.005</v>
      </c>
      <c r="E26" s="3" t="s">
        <v>296</v>
      </c>
      <c r="F26" s="3" t="s">
        <v>297</v>
      </c>
      <c r="G26" s="3">
        <v>2413.06016995508</v>
      </c>
      <c r="H26" s="1">
        <v>20</v>
      </c>
      <c r="I26" s="5">
        <v>75.87</v>
      </c>
      <c r="J26">
        <f t="shared" si="0"/>
        <v>1.26558261688085</v>
      </c>
      <c r="K26" s="1">
        <v>19230</v>
      </c>
      <c r="L26" s="1">
        <v>19230</v>
      </c>
      <c r="M26" s="1">
        <v>0</v>
      </c>
      <c r="N26" s="7" t="s">
        <v>298</v>
      </c>
    </row>
    <row r="27" ht="14.25" spans="1:14">
      <c r="A27" s="1" t="s">
        <v>158</v>
      </c>
      <c r="B27" s="3" t="s">
        <v>299</v>
      </c>
      <c r="C27" s="3" t="s">
        <v>300</v>
      </c>
      <c r="D27" s="1">
        <v>0.007</v>
      </c>
      <c r="E27" s="3" t="s">
        <v>301</v>
      </c>
      <c r="F27" s="3" t="s">
        <v>302</v>
      </c>
      <c r="G27" s="3">
        <v>2764.02865969692</v>
      </c>
      <c r="H27" s="1">
        <v>30</v>
      </c>
      <c r="I27" s="5">
        <v>84.43</v>
      </c>
      <c r="J27">
        <f t="shared" si="0"/>
        <v>1.27471894609284</v>
      </c>
      <c r="K27" s="1">
        <v>22049</v>
      </c>
      <c r="L27" s="1">
        <v>22049</v>
      </c>
      <c r="M27" s="1">
        <v>0</v>
      </c>
      <c r="N27" s="7" t="s">
        <v>303</v>
      </c>
    </row>
    <row r="28" ht="14.25" spans="1:14">
      <c r="A28" s="1" t="s">
        <v>164</v>
      </c>
      <c r="B28" s="3" t="s">
        <v>201</v>
      </c>
      <c r="C28" s="3" t="s">
        <v>304</v>
      </c>
      <c r="D28" s="1">
        <v>0.004</v>
      </c>
      <c r="E28" s="3" t="s">
        <v>305</v>
      </c>
      <c r="F28" s="3" t="s">
        <v>306</v>
      </c>
      <c r="G28" s="3">
        <v>325.465589103152</v>
      </c>
      <c r="H28" s="1">
        <v>10</v>
      </c>
      <c r="I28" s="5">
        <v>68.53</v>
      </c>
      <c r="J28">
        <f t="shared" si="0"/>
        <v>3.09351705443867</v>
      </c>
      <c r="K28" s="1">
        <v>23138</v>
      </c>
      <c r="L28" s="1">
        <v>23138</v>
      </c>
      <c r="M28" s="1">
        <v>0</v>
      </c>
      <c r="N28" s="7" t="s">
        <v>307</v>
      </c>
    </row>
    <row r="29" ht="14.25" spans="1:14">
      <c r="A29" s="1" t="s">
        <v>170</v>
      </c>
      <c r="B29" s="3" t="s">
        <v>19</v>
      </c>
      <c r="C29" s="3" t="s">
        <v>308</v>
      </c>
      <c r="D29" s="1">
        <v>0.013</v>
      </c>
      <c r="E29" s="3" t="s">
        <v>309</v>
      </c>
      <c r="F29" s="3" t="s">
        <v>310</v>
      </c>
      <c r="G29" s="3">
        <v>3541.25991725668</v>
      </c>
      <c r="H29" s="1">
        <v>40</v>
      </c>
      <c r="I29" s="5">
        <v>98.24</v>
      </c>
      <c r="J29">
        <f t="shared" si="0"/>
        <v>1.63409615588496</v>
      </c>
      <c r="K29" s="1">
        <v>38255</v>
      </c>
      <c r="L29" s="1">
        <v>38255</v>
      </c>
      <c r="M29" s="1">
        <v>0</v>
      </c>
      <c r="N29" s="7" t="s">
        <v>311</v>
      </c>
    </row>
    <row r="30" ht="14.25" spans="1:14">
      <c r="A30" s="1" t="s">
        <v>175</v>
      </c>
      <c r="B30" s="3" t="s">
        <v>312</v>
      </c>
      <c r="C30" s="3" t="s">
        <v>115</v>
      </c>
      <c r="D30" s="1">
        <v>0.008</v>
      </c>
      <c r="E30" s="3" t="s">
        <v>313</v>
      </c>
      <c r="F30" s="3" t="s">
        <v>314</v>
      </c>
      <c r="G30" s="3">
        <v>1596.96734951733</v>
      </c>
      <c r="H30" s="1">
        <v>25</v>
      </c>
      <c r="I30" s="5">
        <v>76.29</v>
      </c>
      <c r="J30">
        <f t="shared" si="0"/>
        <v>1.40756607286774</v>
      </c>
      <c r="K30" s="1">
        <v>21934</v>
      </c>
      <c r="L30" s="1">
        <v>21934</v>
      </c>
      <c r="M30" s="1">
        <v>0</v>
      </c>
      <c r="N30" s="7" t="s">
        <v>315</v>
      </c>
    </row>
    <row r="31" ht="14.25" spans="1:14">
      <c r="A31" s="1" t="s">
        <v>180</v>
      </c>
      <c r="B31" s="3" t="s">
        <v>316</v>
      </c>
      <c r="C31" s="3" t="s">
        <v>182</v>
      </c>
      <c r="D31" s="1">
        <v>0.002</v>
      </c>
      <c r="E31" s="3" t="s">
        <v>317</v>
      </c>
      <c r="F31" s="3" t="s">
        <v>318</v>
      </c>
      <c r="G31" s="3">
        <v>511.272436613533</v>
      </c>
      <c r="H31" s="1">
        <v>10</v>
      </c>
      <c r="I31" s="5">
        <v>61.47</v>
      </c>
      <c r="J31">
        <f t="shared" si="0"/>
        <v>1.26390202315452</v>
      </c>
      <c r="K31" s="1">
        <v>33429</v>
      </c>
      <c r="L31" s="1">
        <v>33429</v>
      </c>
      <c r="M31" s="1">
        <v>0</v>
      </c>
      <c r="N31" s="7" t="s">
        <v>319</v>
      </c>
    </row>
    <row r="32" ht="14.25" spans="1:14">
      <c r="A32" s="1" t="s">
        <v>186</v>
      </c>
      <c r="B32" s="3" t="s">
        <v>320</v>
      </c>
      <c r="C32" s="3" t="s">
        <v>187</v>
      </c>
      <c r="D32" s="1">
        <v>0.006</v>
      </c>
      <c r="E32" s="3" t="s">
        <v>321</v>
      </c>
      <c r="F32" s="3" t="s">
        <v>322</v>
      </c>
      <c r="G32" s="3">
        <v>779.66010523964</v>
      </c>
      <c r="H32" s="1">
        <v>12</v>
      </c>
      <c r="I32" s="5">
        <v>87.13</v>
      </c>
      <c r="J32">
        <f t="shared" si="0"/>
        <v>1.04004602445939</v>
      </c>
      <c r="K32" s="1">
        <v>36685</v>
      </c>
      <c r="L32" s="1">
        <v>36685</v>
      </c>
      <c r="M32" s="1">
        <v>0</v>
      </c>
      <c r="N32" s="7" t="s">
        <v>323</v>
      </c>
    </row>
    <row r="33" ht="14.25" spans="1:14">
      <c r="A33" s="1" t="s">
        <v>191</v>
      </c>
      <c r="B33" s="3" t="s">
        <v>120</v>
      </c>
      <c r="C33" s="3" t="s">
        <v>324</v>
      </c>
      <c r="D33" s="1">
        <v>0.007</v>
      </c>
      <c r="E33" s="3" t="s">
        <v>325</v>
      </c>
      <c r="F33" s="3" t="s">
        <v>326</v>
      </c>
      <c r="G33" s="3">
        <v>1911.50312406105</v>
      </c>
      <c r="H33" s="1">
        <v>39</v>
      </c>
      <c r="I33" s="5">
        <v>82.45</v>
      </c>
      <c r="J33">
        <f t="shared" si="0"/>
        <v>1.48146430113117</v>
      </c>
      <c r="K33" s="1">
        <v>34103</v>
      </c>
      <c r="L33" s="1">
        <v>34103</v>
      </c>
      <c r="M33" s="1">
        <v>0</v>
      </c>
      <c r="N33" s="7" t="s">
        <v>327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G11" sqref="G11"/>
    </sheetView>
  </sheetViews>
  <sheetFormatPr defaultColWidth="9" defaultRowHeight="13.5"/>
  <cols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0.5132743362832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328</v>
      </c>
      <c r="C3" s="3" t="s">
        <v>20</v>
      </c>
      <c r="D3" s="1">
        <v>0.924</v>
      </c>
      <c r="E3" s="3" t="s">
        <v>329</v>
      </c>
      <c r="F3" s="3" t="s">
        <v>330</v>
      </c>
      <c r="G3" s="4">
        <v>12556</v>
      </c>
      <c r="H3" s="1">
        <v>223</v>
      </c>
      <c r="I3" s="5">
        <v>215.62</v>
      </c>
      <c r="J3">
        <f>E3/F3</f>
        <v>1.9143437153437</v>
      </c>
      <c r="K3" s="1">
        <v>119160</v>
      </c>
      <c r="L3" s="1">
        <v>119160</v>
      </c>
      <c r="M3" s="1">
        <v>275</v>
      </c>
      <c r="N3" s="7" t="s">
        <v>331</v>
      </c>
    </row>
    <row r="4" ht="14.25" spans="1:14">
      <c r="A4" s="1" t="s">
        <v>24</v>
      </c>
      <c r="B4" s="3" t="s">
        <v>332</v>
      </c>
      <c r="C4" s="3" t="s">
        <v>26</v>
      </c>
      <c r="D4" s="1">
        <v>0.898</v>
      </c>
      <c r="E4" s="3" t="s">
        <v>333</v>
      </c>
      <c r="F4" s="3" t="s">
        <v>334</v>
      </c>
      <c r="G4" s="4">
        <v>3571</v>
      </c>
      <c r="H4" s="1">
        <v>42</v>
      </c>
      <c r="I4" s="5">
        <v>175.26</v>
      </c>
      <c r="J4">
        <f t="shared" ref="J4:J33" si="0">E4/F4</f>
        <v>1.10829330034807</v>
      </c>
      <c r="K4" s="1">
        <v>113786</v>
      </c>
      <c r="L4" s="1">
        <v>113786</v>
      </c>
      <c r="M4" s="1">
        <v>132</v>
      </c>
      <c r="N4" s="7" t="s">
        <v>335</v>
      </c>
    </row>
    <row r="5" ht="14.25" spans="1:14">
      <c r="A5" s="1" t="s">
        <v>30</v>
      </c>
      <c r="B5" s="3" t="s">
        <v>90</v>
      </c>
      <c r="C5" s="3" t="s">
        <v>336</v>
      </c>
      <c r="D5" s="1">
        <v>0.027</v>
      </c>
      <c r="E5" s="3" t="s">
        <v>337</v>
      </c>
      <c r="F5" s="3" t="s">
        <v>338</v>
      </c>
      <c r="G5" s="4">
        <v>4346</v>
      </c>
      <c r="H5" s="1">
        <v>56</v>
      </c>
      <c r="I5" s="5">
        <v>144.98</v>
      </c>
      <c r="J5">
        <f t="shared" si="0"/>
        <v>1.61504225490517</v>
      </c>
      <c r="K5" s="1">
        <v>39083</v>
      </c>
      <c r="L5" s="1">
        <v>39083</v>
      </c>
      <c r="M5" s="1">
        <v>165</v>
      </c>
      <c r="N5" s="7" t="s">
        <v>339</v>
      </c>
    </row>
    <row r="6" ht="14.25" spans="1:14">
      <c r="A6" s="1" t="s">
        <v>36</v>
      </c>
      <c r="B6" s="3" t="s">
        <v>192</v>
      </c>
      <c r="C6" s="3" t="s">
        <v>340</v>
      </c>
      <c r="D6" s="1">
        <v>0.241</v>
      </c>
      <c r="E6" s="3" t="s">
        <v>341</v>
      </c>
      <c r="F6" s="3" t="s">
        <v>342</v>
      </c>
      <c r="G6" s="4">
        <v>2014</v>
      </c>
      <c r="H6" s="1">
        <v>37</v>
      </c>
      <c r="I6" s="5">
        <v>144.22</v>
      </c>
      <c r="J6">
        <f t="shared" si="0"/>
        <v>1.7483017147573</v>
      </c>
      <c r="K6" s="1">
        <v>36338</v>
      </c>
      <c r="L6" s="1">
        <v>36338</v>
      </c>
      <c r="M6" s="1">
        <v>58</v>
      </c>
      <c r="N6" s="7" t="s">
        <v>343</v>
      </c>
    </row>
    <row r="7" ht="14.25" spans="1:14">
      <c r="A7" s="1" t="s">
        <v>42</v>
      </c>
      <c r="B7" s="3" t="s">
        <v>344</v>
      </c>
      <c r="C7" s="3" t="s">
        <v>345</v>
      </c>
      <c r="D7" s="1">
        <v>0.001</v>
      </c>
      <c r="E7" s="3" t="s">
        <v>346</v>
      </c>
      <c r="F7" s="3" t="s">
        <v>347</v>
      </c>
      <c r="G7" s="4">
        <v>1842</v>
      </c>
      <c r="H7" s="1">
        <v>26</v>
      </c>
      <c r="I7" s="5">
        <v>146.59</v>
      </c>
      <c r="J7">
        <f t="shared" si="0"/>
        <v>1.16903965014131</v>
      </c>
      <c r="K7" s="1">
        <v>68091</v>
      </c>
      <c r="L7" s="1">
        <v>68091</v>
      </c>
      <c r="M7" s="1">
        <v>48</v>
      </c>
      <c r="N7" s="7" t="s">
        <v>348</v>
      </c>
    </row>
    <row r="8" ht="14.25" spans="1:14">
      <c r="A8" s="1" t="s">
        <v>48</v>
      </c>
      <c r="B8" s="3" t="s">
        <v>349</v>
      </c>
      <c r="C8" s="3" t="s">
        <v>103</v>
      </c>
      <c r="D8" s="1">
        <v>0.155</v>
      </c>
      <c r="E8" s="3" t="s">
        <v>350</v>
      </c>
      <c r="F8" s="3" t="s">
        <v>351</v>
      </c>
      <c r="G8" s="4">
        <v>3217</v>
      </c>
      <c r="H8" s="1">
        <v>68</v>
      </c>
      <c r="I8" s="5">
        <v>160.07</v>
      </c>
      <c r="J8">
        <f t="shared" si="0"/>
        <v>1.32622299979813</v>
      </c>
      <c r="K8" s="1">
        <v>61996</v>
      </c>
      <c r="L8" s="1">
        <v>61996</v>
      </c>
      <c r="M8" s="1">
        <v>26</v>
      </c>
      <c r="N8" s="7" t="s">
        <v>352</v>
      </c>
    </row>
    <row r="9" ht="14.25" spans="1:14">
      <c r="A9" s="1" t="s">
        <v>54</v>
      </c>
      <c r="B9" s="3" t="s">
        <v>25</v>
      </c>
      <c r="C9" s="3" t="s">
        <v>56</v>
      </c>
      <c r="D9" s="1">
        <v>0.032</v>
      </c>
      <c r="E9" s="3" t="s">
        <v>353</v>
      </c>
      <c r="F9" s="3" t="s">
        <v>354</v>
      </c>
      <c r="G9" s="4">
        <v>1653</v>
      </c>
      <c r="H9" s="1">
        <v>42</v>
      </c>
      <c r="I9" s="5">
        <v>138.36</v>
      </c>
      <c r="J9">
        <f t="shared" si="0"/>
        <v>1.37766075593233</v>
      </c>
      <c r="K9" s="1">
        <v>46963</v>
      </c>
      <c r="L9" s="1">
        <v>46963</v>
      </c>
      <c r="M9" s="1">
        <v>19</v>
      </c>
      <c r="N9" s="7" t="s">
        <v>355</v>
      </c>
    </row>
    <row r="10" ht="14.25" spans="1:14">
      <c r="A10" s="1" t="s">
        <v>60</v>
      </c>
      <c r="B10" s="3" t="s">
        <v>79</v>
      </c>
      <c r="C10" s="3" t="s">
        <v>356</v>
      </c>
      <c r="D10" s="1">
        <v>0.004</v>
      </c>
      <c r="E10" s="3" t="s">
        <v>357</v>
      </c>
      <c r="F10" s="3" t="s">
        <v>358</v>
      </c>
      <c r="G10" s="4">
        <v>1527</v>
      </c>
      <c r="H10" s="1">
        <v>36</v>
      </c>
      <c r="I10" s="5">
        <v>141.4</v>
      </c>
      <c r="J10">
        <f t="shared" si="0"/>
        <v>1.55259070655633</v>
      </c>
      <c r="K10" s="1">
        <v>37647</v>
      </c>
      <c r="L10" s="1">
        <v>37647</v>
      </c>
      <c r="M10" s="1">
        <v>16</v>
      </c>
      <c r="N10" s="7" t="s">
        <v>359</v>
      </c>
    </row>
    <row r="11" ht="14.25" spans="1:14">
      <c r="A11" s="1" t="s">
        <v>66</v>
      </c>
      <c r="B11" s="3" t="s">
        <v>79</v>
      </c>
      <c r="C11" s="3" t="s">
        <v>360</v>
      </c>
      <c r="D11" s="1">
        <v>3.176</v>
      </c>
      <c r="E11" s="3" t="s">
        <v>361</v>
      </c>
      <c r="F11" s="3" t="s">
        <v>362</v>
      </c>
      <c r="G11" s="4">
        <v>7948</v>
      </c>
      <c r="H11" s="1">
        <v>261</v>
      </c>
      <c r="I11" s="5">
        <v>222.14</v>
      </c>
      <c r="J11">
        <f t="shared" si="0"/>
        <v>1.56130815990304</v>
      </c>
      <c r="K11" s="1">
        <v>98560</v>
      </c>
      <c r="L11" s="1">
        <v>98560</v>
      </c>
      <c r="M11" s="1">
        <v>11</v>
      </c>
      <c r="N11" s="7" t="s">
        <v>363</v>
      </c>
    </row>
    <row r="12" ht="14.25" spans="1:14">
      <c r="A12" s="1" t="s">
        <v>72</v>
      </c>
      <c r="B12" s="3" t="s">
        <v>364</v>
      </c>
      <c r="C12" s="3" t="s">
        <v>121</v>
      </c>
      <c r="D12" s="1">
        <v>1.776</v>
      </c>
      <c r="E12" s="3" t="s">
        <v>365</v>
      </c>
      <c r="F12" s="3" t="s">
        <v>366</v>
      </c>
      <c r="G12" s="4">
        <v>12070</v>
      </c>
      <c r="H12" s="1">
        <v>260</v>
      </c>
      <c r="I12" s="5">
        <v>180.98</v>
      </c>
      <c r="J12">
        <f t="shared" si="0"/>
        <v>1.36477757604781</v>
      </c>
      <c r="K12" s="1">
        <v>75253</v>
      </c>
      <c r="L12" s="1">
        <v>75253</v>
      </c>
      <c r="M12" s="1">
        <v>13</v>
      </c>
      <c r="N12" s="7" t="s">
        <v>367</v>
      </c>
    </row>
    <row r="13" ht="14.25" spans="1:14">
      <c r="A13" s="1" t="s">
        <v>78</v>
      </c>
      <c r="B13" s="3" t="s">
        <v>368</v>
      </c>
      <c r="C13" s="3" t="s">
        <v>62</v>
      </c>
      <c r="D13" s="1">
        <v>0.181</v>
      </c>
      <c r="E13" s="3" t="s">
        <v>369</v>
      </c>
      <c r="F13" s="3" t="s">
        <v>370</v>
      </c>
      <c r="G13" s="4">
        <v>9934</v>
      </c>
      <c r="H13" s="1">
        <v>235</v>
      </c>
      <c r="I13" s="5">
        <v>205.77</v>
      </c>
      <c r="J13">
        <f t="shared" si="0"/>
        <v>1.12846245369136</v>
      </c>
      <c r="K13" s="1">
        <v>69785</v>
      </c>
      <c r="L13" s="1">
        <v>69785</v>
      </c>
      <c r="M13" s="1">
        <v>15</v>
      </c>
      <c r="N13" s="7" t="s">
        <v>371</v>
      </c>
    </row>
    <row r="14" ht="14.25" spans="1:14">
      <c r="A14" s="1" t="s">
        <v>84</v>
      </c>
      <c r="B14" s="3" t="s">
        <v>96</v>
      </c>
      <c r="C14" s="3" t="s">
        <v>227</v>
      </c>
      <c r="D14" s="1">
        <v>0.098</v>
      </c>
      <c r="E14" s="3" t="s">
        <v>372</v>
      </c>
      <c r="F14" s="3" t="s">
        <v>373</v>
      </c>
      <c r="G14" s="4">
        <v>3849</v>
      </c>
      <c r="H14" s="1">
        <v>88</v>
      </c>
      <c r="I14" s="5">
        <v>150.83</v>
      </c>
      <c r="J14">
        <f t="shared" si="0"/>
        <v>1.36824087524507</v>
      </c>
      <c r="K14" s="1">
        <v>32030</v>
      </c>
      <c r="L14" s="1">
        <v>32030</v>
      </c>
      <c r="M14" s="1">
        <v>9</v>
      </c>
      <c r="N14" s="7" t="s">
        <v>374</v>
      </c>
    </row>
    <row r="15" ht="14.25" spans="1:14">
      <c r="A15" s="1" t="s">
        <v>89</v>
      </c>
      <c r="B15" s="3" t="s">
        <v>375</v>
      </c>
      <c r="C15" s="3" t="s">
        <v>244</v>
      </c>
      <c r="D15" s="1">
        <v>0.775</v>
      </c>
      <c r="E15" s="3" t="s">
        <v>376</v>
      </c>
      <c r="F15" s="3" t="s">
        <v>377</v>
      </c>
      <c r="G15" s="4">
        <v>4476</v>
      </c>
      <c r="H15" s="1">
        <v>93</v>
      </c>
      <c r="I15" s="5">
        <v>183.1</v>
      </c>
      <c r="J15">
        <f t="shared" si="0"/>
        <v>1.11459802144938</v>
      </c>
      <c r="K15" s="1">
        <v>58488</v>
      </c>
      <c r="L15" s="1">
        <v>58488</v>
      </c>
      <c r="M15" s="1">
        <v>8</v>
      </c>
      <c r="N15" s="7" t="s">
        <v>378</v>
      </c>
    </row>
    <row r="16" ht="14.25" spans="1:14">
      <c r="A16" s="1" t="s">
        <v>95</v>
      </c>
      <c r="B16" s="3" t="s">
        <v>379</v>
      </c>
      <c r="C16" s="3" t="s">
        <v>97</v>
      </c>
      <c r="D16" s="1">
        <v>0.168</v>
      </c>
      <c r="E16" s="3" t="s">
        <v>380</v>
      </c>
      <c r="F16" s="3" t="s">
        <v>381</v>
      </c>
      <c r="G16" s="4">
        <v>2748</v>
      </c>
      <c r="H16" s="1">
        <v>41</v>
      </c>
      <c r="I16" s="5">
        <v>146.13</v>
      </c>
      <c r="J16">
        <f t="shared" si="0"/>
        <v>1.49352868049147</v>
      </c>
      <c r="K16" s="1">
        <v>31708</v>
      </c>
      <c r="L16" s="1">
        <v>31708</v>
      </c>
      <c r="M16" s="1">
        <v>9</v>
      </c>
      <c r="N16" s="7" t="s">
        <v>382</v>
      </c>
    </row>
    <row r="17" ht="14.25" spans="1:14">
      <c r="A17" s="1" t="s">
        <v>101</v>
      </c>
      <c r="B17" s="3" t="s">
        <v>61</v>
      </c>
      <c r="C17" s="3" t="s">
        <v>383</v>
      </c>
      <c r="D17" s="1">
        <v>0.249</v>
      </c>
      <c r="E17" s="3" t="s">
        <v>384</v>
      </c>
      <c r="F17" s="3" t="s">
        <v>385</v>
      </c>
      <c r="G17" s="4">
        <v>7597</v>
      </c>
      <c r="H17" s="1">
        <v>157</v>
      </c>
      <c r="I17" s="5">
        <v>159.3</v>
      </c>
      <c r="J17">
        <f t="shared" si="0"/>
        <v>1.32127268670194</v>
      </c>
      <c r="K17" s="1">
        <v>55124</v>
      </c>
      <c r="L17" s="1">
        <v>55124</v>
      </c>
      <c r="M17" s="1">
        <v>6</v>
      </c>
      <c r="N17" s="7" t="s">
        <v>386</v>
      </c>
    </row>
    <row r="18" ht="14.25" spans="1:14">
      <c r="A18" s="1" t="s">
        <v>107</v>
      </c>
      <c r="B18" s="3" t="s">
        <v>387</v>
      </c>
      <c r="C18" s="3" t="s">
        <v>388</v>
      </c>
      <c r="D18" s="1">
        <v>0.768</v>
      </c>
      <c r="E18" s="3" t="s">
        <v>389</v>
      </c>
      <c r="F18" s="3" t="s">
        <v>390</v>
      </c>
      <c r="G18" s="4">
        <v>4609</v>
      </c>
      <c r="H18" s="1">
        <v>69</v>
      </c>
      <c r="I18" s="5">
        <v>142.08</v>
      </c>
      <c r="J18">
        <f t="shared" si="0"/>
        <v>1.59884524103201</v>
      </c>
      <c r="K18" s="1">
        <v>33870</v>
      </c>
      <c r="L18" s="1">
        <v>33870</v>
      </c>
      <c r="M18" s="1">
        <v>4</v>
      </c>
      <c r="N18" s="7" t="s">
        <v>391</v>
      </c>
    </row>
    <row r="19" ht="14.25" spans="1:14">
      <c r="A19" s="1" t="s">
        <v>113</v>
      </c>
      <c r="B19" s="3" t="s">
        <v>290</v>
      </c>
      <c r="C19" s="3" t="s">
        <v>50</v>
      </c>
      <c r="D19" s="1">
        <v>0.215</v>
      </c>
      <c r="E19" s="3" t="s">
        <v>392</v>
      </c>
      <c r="F19" s="3" t="s">
        <v>393</v>
      </c>
      <c r="G19" s="4">
        <v>4173</v>
      </c>
      <c r="H19" s="1">
        <v>87</v>
      </c>
      <c r="I19" s="5">
        <v>164.76</v>
      </c>
      <c r="J19">
        <f t="shared" si="0"/>
        <v>1.50576379652158</v>
      </c>
      <c r="K19" s="1">
        <v>42516</v>
      </c>
      <c r="L19" s="1">
        <v>42516</v>
      </c>
      <c r="M19" s="1">
        <v>6</v>
      </c>
      <c r="N19" s="7" t="s">
        <v>394</v>
      </c>
    </row>
    <row r="20" ht="14.25" spans="1:14">
      <c r="A20" s="1" t="s">
        <v>119</v>
      </c>
      <c r="B20" s="3" t="s">
        <v>395</v>
      </c>
      <c r="C20" s="3" t="s">
        <v>396</v>
      </c>
      <c r="D20" s="1">
        <v>0.157</v>
      </c>
      <c r="E20" s="3" t="s">
        <v>397</v>
      </c>
      <c r="F20" s="3" t="s">
        <v>398</v>
      </c>
      <c r="G20" s="4">
        <v>3796</v>
      </c>
      <c r="H20" s="1">
        <v>78</v>
      </c>
      <c r="I20" s="5">
        <v>147.71</v>
      </c>
      <c r="J20">
        <f t="shared" si="0"/>
        <v>1.48149781435525</v>
      </c>
      <c r="K20" s="1">
        <v>37253</v>
      </c>
      <c r="L20" s="1">
        <v>37253</v>
      </c>
      <c r="M20" s="1">
        <v>4</v>
      </c>
      <c r="N20" s="7" t="s">
        <v>399</v>
      </c>
    </row>
    <row r="21" ht="14.25" spans="1:14">
      <c r="A21" s="1" t="s">
        <v>125</v>
      </c>
      <c r="B21" s="3" t="s">
        <v>400</v>
      </c>
      <c r="C21" s="3" t="s">
        <v>401</v>
      </c>
      <c r="D21" s="1">
        <v>1.046</v>
      </c>
      <c r="E21" s="3" t="s">
        <v>402</v>
      </c>
      <c r="F21" s="3" t="s">
        <v>403</v>
      </c>
      <c r="G21" s="4">
        <v>13826</v>
      </c>
      <c r="H21" s="1">
        <v>395</v>
      </c>
      <c r="I21" s="5">
        <v>184.78</v>
      </c>
      <c r="J21">
        <f t="shared" si="0"/>
        <v>1.58179447178162</v>
      </c>
      <c r="K21" s="1">
        <v>58833</v>
      </c>
      <c r="L21" s="1">
        <v>58833</v>
      </c>
      <c r="M21" s="1">
        <v>2</v>
      </c>
      <c r="N21" s="7" t="s">
        <v>404</v>
      </c>
    </row>
    <row r="22" ht="14.25" spans="1:14">
      <c r="A22" s="1" t="s">
        <v>130</v>
      </c>
      <c r="B22" s="3" t="s">
        <v>299</v>
      </c>
      <c r="C22" s="3" t="s">
        <v>405</v>
      </c>
      <c r="D22" s="1">
        <v>0.265</v>
      </c>
      <c r="E22" s="3" t="s">
        <v>406</v>
      </c>
      <c r="F22" s="3" t="s">
        <v>407</v>
      </c>
      <c r="G22" s="4">
        <v>2552</v>
      </c>
      <c r="H22" s="1">
        <v>35</v>
      </c>
      <c r="I22" s="5">
        <v>141.46</v>
      </c>
      <c r="J22">
        <f t="shared" si="0"/>
        <v>1.30675853507667</v>
      </c>
      <c r="K22" s="1">
        <v>29390</v>
      </c>
      <c r="L22" s="1">
        <v>29390</v>
      </c>
      <c r="M22" s="1">
        <v>2</v>
      </c>
      <c r="N22" s="7" t="s">
        <v>408</v>
      </c>
    </row>
    <row r="23" ht="14.25" spans="1:14">
      <c r="A23" s="1" t="s">
        <v>135</v>
      </c>
      <c r="B23" s="3" t="s">
        <v>409</v>
      </c>
      <c r="C23" s="3" t="s">
        <v>154</v>
      </c>
      <c r="D23" s="1">
        <v>0.036</v>
      </c>
      <c r="E23" s="3" t="s">
        <v>410</v>
      </c>
      <c r="F23" s="3" t="s">
        <v>411</v>
      </c>
      <c r="G23" s="4">
        <v>986</v>
      </c>
      <c r="H23" s="1">
        <v>30</v>
      </c>
      <c r="I23" s="5">
        <v>158.26</v>
      </c>
      <c r="J23">
        <f t="shared" si="0"/>
        <v>1.28542059868964</v>
      </c>
      <c r="K23" s="1">
        <v>35663</v>
      </c>
      <c r="L23" s="1">
        <v>35663</v>
      </c>
      <c r="M23" s="1">
        <v>2</v>
      </c>
      <c r="N23" s="7" t="s">
        <v>412</v>
      </c>
    </row>
    <row r="24" ht="14.25" spans="1:14">
      <c r="A24" s="1" t="s">
        <v>141</v>
      </c>
      <c r="B24" s="3" t="s">
        <v>413</v>
      </c>
      <c r="C24" s="3" t="s">
        <v>171</v>
      </c>
      <c r="D24" s="1">
        <v>1.417</v>
      </c>
      <c r="E24" s="3" t="s">
        <v>414</v>
      </c>
      <c r="F24" s="3" t="s">
        <v>415</v>
      </c>
      <c r="G24" s="4">
        <v>3493</v>
      </c>
      <c r="H24" s="1">
        <v>45</v>
      </c>
      <c r="I24" s="5">
        <v>159.86</v>
      </c>
      <c r="J24">
        <f t="shared" si="0"/>
        <v>1.27733717648886</v>
      </c>
      <c r="K24" s="1">
        <v>43600</v>
      </c>
      <c r="L24" s="1">
        <v>43600</v>
      </c>
      <c r="M24" s="1">
        <v>1</v>
      </c>
      <c r="N24" s="7" t="s">
        <v>416</v>
      </c>
    </row>
    <row r="25" ht="14.25" spans="1:14">
      <c r="A25" s="1" t="s">
        <v>146</v>
      </c>
      <c r="B25" s="3" t="s">
        <v>332</v>
      </c>
      <c r="C25" s="3" t="s">
        <v>417</v>
      </c>
      <c r="D25" s="1">
        <v>0.362</v>
      </c>
      <c r="E25" s="3" t="s">
        <v>418</v>
      </c>
      <c r="F25" s="3" t="s">
        <v>419</v>
      </c>
      <c r="G25" s="4">
        <v>5617</v>
      </c>
      <c r="H25" s="1">
        <v>94</v>
      </c>
      <c r="I25" s="5">
        <v>153.04</v>
      </c>
      <c r="J25">
        <f t="shared" si="0"/>
        <v>1.58824839886662</v>
      </c>
      <c r="K25" s="1">
        <v>32307</v>
      </c>
      <c r="L25" s="1">
        <v>32307</v>
      </c>
      <c r="M25" s="1">
        <v>1</v>
      </c>
      <c r="N25" s="7" t="s">
        <v>420</v>
      </c>
    </row>
    <row r="26" ht="14.25" spans="1:14">
      <c r="A26" s="1" t="s">
        <v>152</v>
      </c>
      <c r="B26" s="3" t="s">
        <v>299</v>
      </c>
      <c r="C26" s="3" t="s">
        <v>421</v>
      </c>
      <c r="D26" s="1">
        <v>0.008</v>
      </c>
      <c r="E26" s="3" t="s">
        <v>422</v>
      </c>
      <c r="F26" s="3" t="s">
        <v>423</v>
      </c>
      <c r="G26" s="4">
        <v>1987</v>
      </c>
      <c r="H26" s="1">
        <v>21</v>
      </c>
      <c r="I26" s="5">
        <v>121.22</v>
      </c>
      <c r="J26">
        <f t="shared" si="0"/>
        <v>1.30921259904538</v>
      </c>
      <c r="K26" s="1">
        <v>22623</v>
      </c>
      <c r="L26" s="1">
        <v>22623</v>
      </c>
      <c r="M26" s="1">
        <v>1</v>
      </c>
      <c r="N26" s="7" t="s">
        <v>424</v>
      </c>
    </row>
    <row r="27" ht="14.25" spans="1:14">
      <c r="A27" s="1" t="s">
        <v>158</v>
      </c>
      <c r="B27" s="3" t="s">
        <v>425</v>
      </c>
      <c r="C27" s="3" t="s">
        <v>426</v>
      </c>
      <c r="D27" s="1">
        <v>0.004</v>
      </c>
      <c r="E27" s="3" t="s">
        <v>427</v>
      </c>
      <c r="F27" s="3" t="s">
        <v>428</v>
      </c>
      <c r="G27" s="4">
        <v>2276</v>
      </c>
      <c r="H27" s="1">
        <v>31</v>
      </c>
      <c r="I27" s="5">
        <v>137.9</v>
      </c>
      <c r="J27">
        <f t="shared" si="0"/>
        <v>1.29142966972329</v>
      </c>
      <c r="K27" s="1">
        <v>25195</v>
      </c>
      <c r="L27" s="1">
        <v>25195</v>
      </c>
      <c r="M27" s="1">
        <v>1</v>
      </c>
      <c r="N27" s="7" t="s">
        <v>429</v>
      </c>
    </row>
    <row r="28" ht="14.25" spans="1:14">
      <c r="A28" s="1" t="s">
        <v>164</v>
      </c>
      <c r="B28" s="3" t="s">
        <v>430</v>
      </c>
      <c r="C28" s="3" t="s">
        <v>431</v>
      </c>
      <c r="D28" s="1">
        <v>0.001</v>
      </c>
      <c r="E28" s="3" t="s">
        <v>432</v>
      </c>
      <c r="F28" s="3" t="s">
        <v>433</v>
      </c>
      <c r="G28" s="4">
        <v>268</v>
      </c>
      <c r="H28" s="1">
        <v>10</v>
      </c>
      <c r="I28" s="5">
        <v>115.1</v>
      </c>
      <c r="J28">
        <f t="shared" si="0"/>
        <v>2.32304148321537</v>
      </c>
      <c r="K28" s="1">
        <v>26665</v>
      </c>
      <c r="L28" s="1">
        <v>26665</v>
      </c>
      <c r="M28" s="1">
        <v>0</v>
      </c>
      <c r="N28" s="7" t="s">
        <v>434</v>
      </c>
    </row>
    <row r="29" ht="14.25" spans="1:14">
      <c r="A29" s="1" t="s">
        <v>170</v>
      </c>
      <c r="B29" s="3" t="s">
        <v>435</v>
      </c>
      <c r="C29" s="3" t="s">
        <v>436</v>
      </c>
      <c r="D29" s="1">
        <v>0.039</v>
      </c>
      <c r="E29" s="3" t="s">
        <v>437</v>
      </c>
      <c r="F29" s="3" t="s">
        <v>438</v>
      </c>
      <c r="G29" s="4">
        <v>2916</v>
      </c>
      <c r="H29" s="1">
        <v>42</v>
      </c>
      <c r="I29" s="5">
        <v>148.37</v>
      </c>
      <c r="J29">
        <f t="shared" si="0"/>
        <v>1.55624636814452</v>
      </c>
      <c r="K29" s="1">
        <v>42691</v>
      </c>
      <c r="L29" s="1">
        <v>42691</v>
      </c>
      <c r="M29" s="1">
        <v>0</v>
      </c>
      <c r="N29" s="7" t="s">
        <v>29</v>
      </c>
    </row>
    <row r="30" ht="14.25" spans="1:14">
      <c r="A30" s="1" t="s">
        <v>175</v>
      </c>
      <c r="B30" s="3" t="s">
        <v>280</v>
      </c>
      <c r="C30" s="3" t="s">
        <v>439</v>
      </c>
      <c r="D30" s="1">
        <v>0.013</v>
      </c>
      <c r="E30" s="3" t="s">
        <v>440</v>
      </c>
      <c r="F30" s="3" t="s">
        <v>441</v>
      </c>
      <c r="G30" s="4">
        <v>1315</v>
      </c>
      <c r="H30" s="1">
        <v>25</v>
      </c>
      <c r="I30" s="5">
        <v>128.39</v>
      </c>
      <c r="J30">
        <f t="shared" si="0"/>
        <v>1.36820735800359</v>
      </c>
      <c r="K30" s="1">
        <v>24418</v>
      </c>
      <c r="L30" s="1">
        <v>24418</v>
      </c>
      <c r="M30" s="1">
        <v>0</v>
      </c>
      <c r="N30" s="7" t="s">
        <v>442</v>
      </c>
    </row>
    <row r="31" ht="14.25" spans="1:14">
      <c r="A31" s="1" t="s">
        <v>180</v>
      </c>
      <c r="B31" s="3" t="s">
        <v>443</v>
      </c>
      <c r="C31" s="3" t="s">
        <v>444</v>
      </c>
      <c r="D31" s="1">
        <v>0.003</v>
      </c>
      <c r="E31" s="3" t="s">
        <v>445</v>
      </c>
      <c r="F31" s="3" t="s">
        <v>446</v>
      </c>
      <c r="G31" s="4">
        <v>421</v>
      </c>
      <c r="H31" s="1">
        <v>10</v>
      </c>
      <c r="I31" s="5">
        <v>118.01</v>
      </c>
      <c r="J31">
        <f t="shared" si="0"/>
        <v>1.16959154176198</v>
      </c>
      <c r="K31" s="1">
        <v>37313</v>
      </c>
      <c r="L31" s="1">
        <v>37313</v>
      </c>
      <c r="M31" s="1">
        <v>0</v>
      </c>
      <c r="N31" s="7" t="s">
        <v>447</v>
      </c>
    </row>
    <row r="32" ht="14.25" spans="1:14">
      <c r="A32" s="1" t="s">
        <v>186</v>
      </c>
      <c r="B32" s="3" t="s">
        <v>31</v>
      </c>
      <c r="C32" s="3" t="s">
        <v>171</v>
      </c>
      <c r="D32" s="1">
        <v>0.013</v>
      </c>
      <c r="E32" s="3" t="s">
        <v>448</v>
      </c>
      <c r="F32" s="3" t="s">
        <v>449</v>
      </c>
      <c r="G32" s="4">
        <v>642</v>
      </c>
      <c r="H32" s="1">
        <v>13</v>
      </c>
      <c r="I32" s="5">
        <v>136.74</v>
      </c>
      <c r="J32">
        <f t="shared" si="0"/>
        <v>0.98330753504303</v>
      </c>
      <c r="K32" s="1">
        <v>40155</v>
      </c>
      <c r="L32" s="1">
        <v>40155</v>
      </c>
      <c r="M32" s="1">
        <v>0</v>
      </c>
      <c r="N32" s="7" t="s">
        <v>450</v>
      </c>
    </row>
    <row r="33" ht="14.25" spans="1:14">
      <c r="A33" s="1" t="s">
        <v>191</v>
      </c>
      <c r="B33" s="3" t="s">
        <v>222</v>
      </c>
      <c r="C33" s="3" t="s">
        <v>451</v>
      </c>
      <c r="D33" s="1">
        <v>0.003</v>
      </c>
      <c r="E33" s="3" t="s">
        <v>452</v>
      </c>
      <c r="F33" s="3" t="s">
        <v>453</v>
      </c>
      <c r="G33" s="4">
        <v>1574</v>
      </c>
      <c r="H33" s="1">
        <v>41</v>
      </c>
      <c r="I33" s="5">
        <v>143.4</v>
      </c>
      <c r="J33">
        <f t="shared" si="0"/>
        <v>1.37297499404941</v>
      </c>
      <c r="K33" s="1">
        <v>38113</v>
      </c>
      <c r="L33" s="1">
        <v>38113</v>
      </c>
      <c r="M33" s="1">
        <v>0</v>
      </c>
      <c r="N33" s="7" t="s">
        <v>454</v>
      </c>
    </row>
    <row r="34" spans="1:14">
      <c r="G34">
        <f>SUM(G3:G33)</f>
        <v>129799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H1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3.8318584070796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312</v>
      </c>
      <c r="C3" s="3" t="s">
        <v>455</v>
      </c>
      <c r="D3" s="1">
        <v>0.679</v>
      </c>
      <c r="E3" s="3" t="s">
        <v>456</v>
      </c>
      <c r="F3" s="3" t="s">
        <v>457</v>
      </c>
      <c r="G3" s="4">
        <v>12877</v>
      </c>
      <c r="H3" s="1">
        <v>249</v>
      </c>
      <c r="I3" s="5">
        <v>235.36</v>
      </c>
      <c r="J3">
        <f>E3/F3</f>
        <v>1.86569208918446</v>
      </c>
      <c r="K3" s="1">
        <v>129130</v>
      </c>
      <c r="L3" s="1">
        <v>129130</v>
      </c>
      <c r="M3" s="1">
        <v>412</v>
      </c>
      <c r="N3" s="7" t="s">
        <v>458</v>
      </c>
    </row>
    <row r="4" ht="14.25" spans="1:14">
      <c r="A4" s="1" t="s">
        <v>24</v>
      </c>
      <c r="B4" s="3" t="s">
        <v>459</v>
      </c>
      <c r="C4" s="3" t="s">
        <v>56</v>
      </c>
      <c r="D4" s="1">
        <v>0.798</v>
      </c>
      <c r="E4" s="3" t="s">
        <v>460</v>
      </c>
      <c r="F4" s="3" t="s">
        <v>461</v>
      </c>
      <c r="G4" s="4">
        <v>3492</v>
      </c>
      <c r="H4" s="1">
        <v>45</v>
      </c>
      <c r="I4" s="5">
        <v>200.16</v>
      </c>
      <c r="J4">
        <f t="shared" ref="J4:J33" si="0">E4/F4</f>
        <v>1.06692941866443</v>
      </c>
      <c r="K4" s="1">
        <v>123462</v>
      </c>
      <c r="L4" s="1">
        <v>123462</v>
      </c>
      <c r="M4" s="1">
        <v>215</v>
      </c>
      <c r="N4" s="7" t="s">
        <v>462</v>
      </c>
    </row>
    <row r="5" ht="14.25" spans="1:14">
      <c r="A5" s="1" t="s">
        <v>30</v>
      </c>
      <c r="B5" s="3" t="s">
        <v>231</v>
      </c>
      <c r="C5" s="3" t="s">
        <v>210</v>
      </c>
      <c r="D5" s="1">
        <v>0.036</v>
      </c>
      <c r="E5" s="3" t="s">
        <v>463</v>
      </c>
      <c r="F5" s="3" t="s">
        <v>464</v>
      </c>
      <c r="G5" s="4">
        <v>4647</v>
      </c>
      <c r="H5" s="1">
        <v>58</v>
      </c>
      <c r="I5" s="5">
        <v>160.76</v>
      </c>
      <c r="J5">
        <f t="shared" si="0"/>
        <v>1.56008598225457</v>
      </c>
      <c r="K5" s="1">
        <v>40255</v>
      </c>
      <c r="L5" s="1">
        <v>40255</v>
      </c>
      <c r="M5" s="1">
        <v>286</v>
      </c>
      <c r="N5" s="7" t="s">
        <v>465</v>
      </c>
    </row>
    <row r="6" ht="14.25" spans="1:14">
      <c r="A6" s="1" t="s">
        <v>36</v>
      </c>
      <c r="B6" s="3" t="s">
        <v>466</v>
      </c>
      <c r="C6" s="3" t="s">
        <v>467</v>
      </c>
      <c r="D6" s="1">
        <v>0.353</v>
      </c>
      <c r="E6" s="3" t="s">
        <v>468</v>
      </c>
      <c r="F6" s="3" t="s">
        <v>469</v>
      </c>
      <c r="G6" s="4">
        <v>2187</v>
      </c>
      <c r="H6" s="1">
        <v>38</v>
      </c>
      <c r="I6" s="5">
        <v>167.66</v>
      </c>
      <c r="J6">
        <f t="shared" si="0"/>
        <v>1.62704649501401</v>
      </c>
      <c r="K6" s="1">
        <v>36570</v>
      </c>
      <c r="L6" s="1">
        <v>36570</v>
      </c>
      <c r="M6" s="1">
        <v>98</v>
      </c>
      <c r="N6" s="7" t="s">
        <v>470</v>
      </c>
    </row>
    <row r="7" ht="14.25" spans="1:14">
      <c r="A7" s="1" t="s">
        <v>42</v>
      </c>
      <c r="B7" s="3" t="s">
        <v>471</v>
      </c>
      <c r="C7" s="3" t="s">
        <v>131</v>
      </c>
      <c r="D7" s="1">
        <v>0.001</v>
      </c>
      <c r="E7" s="3" t="s">
        <v>472</v>
      </c>
      <c r="F7" s="3" t="s">
        <v>473</v>
      </c>
      <c r="G7" s="4">
        <v>1967</v>
      </c>
      <c r="H7" s="1">
        <v>26</v>
      </c>
      <c r="I7" s="5">
        <v>172.56</v>
      </c>
      <c r="J7">
        <f t="shared" si="0"/>
        <v>1.08128235762644</v>
      </c>
      <c r="K7" s="1">
        <v>71035</v>
      </c>
      <c r="L7" s="1">
        <v>71035</v>
      </c>
      <c r="M7" s="1">
        <v>85</v>
      </c>
      <c r="N7" s="7" t="s">
        <v>474</v>
      </c>
    </row>
    <row r="8" ht="14.25" spans="1:14">
      <c r="A8" s="1" t="s">
        <v>48</v>
      </c>
      <c r="B8" s="3" t="s">
        <v>475</v>
      </c>
      <c r="C8" s="3" t="s">
        <v>356</v>
      </c>
      <c r="D8" s="1">
        <v>0.134</v>
      </c>
      <c r="E8" s="3" t="s">
        <v>476</v>
      </c>
      <c r="F8" s="3" t="s">
        <v>477</v>
      </c>
      <c r="G8" s="4">
        <v>3405</v>
      </c>
      <c r="H8" s="1">
        <v>71</v>
      </c>
      <c r="I8" s="5">
        <v>187.61</v>
      </c>
      <c r="J8">
        <f t="shared" si="0"/>
        <v>1.27340721899225</v>
      </c>
      <c r="K8" s="1">
        <v>65524</v>
      </c>
      <c r="L8" s="1">
        <v>65524</v>
      </c>
      <c r="M8" s="1">
        <v>45</v>
      </c>
      <c r="N8" s="7" t="s">
        <v>478</v>
      </c>
    </row>
    <row r="9" ht="14.25" spans="1:14">
      <c r="A9" s="1" t="s">
        <v>54</v>
      </c>
      <c r="B9" s="3" t="s">
        <v>159</v>
      </c>
      <c r="C9" s="3" t="s">
        <v>56</v>
      </c>
      <c r="D9" s="1">
        <v>0.037</v>
      </c>
      <c r="E9" s="3" t="s">
        <v>479</v>
      </c>
      <c r="F9" s="3" t="s">
        <v>480</v>
      </c>
      <c r="G9" s="4">
        <v>1792</v>
      </c>
      <c r="H9" s="1">
        <v>43</v>
      </c>
      <c r="I9" s="5">
        <v>165.62</v>
      </c>
      <c r="J9">
        <f t="shared" si="0"/>
        <v>1.3017652201996</v>
      </c>
      <c r="K9" s="1">
        <v>49752</v>
      </c>
      <c r="L9" s="1">
        <v>49752</v>
      </c>
      <c r="M9" s="1">
        <v>32</v>
      </c>
      <c r="N9" s="7" t="s">
        <v>481</v>
      </c>
    </row>
    <row r="10" ht="14.25" spans="1:14">
      <c r="A10" s="1" t="s">
        <v>60</v>
      </c>
      <c r="B10" s="3" t="s">
        <v>214</v>
      </c>
      <c r="C10" s="3" t="s">
        <v>482</v>
      </c>
      <c r="D10" s="1">
        <v>0.002</v>
      </c>
      <c r="E10" s="3" t="s">
        <v>483</v>
      </c>
      <c r="F10" s="3" t="s">
        <v>484</v>
      </c>
      <c r="G10" s="4">
        <v>1641</v>
      </c>
      <c r="H10" s="1">
        <v>37</v>
      </c>
      <c r="I10" s="5">
        <v>167.8</v>
      </c>
      <c r="J10">
        <f t="shared" si="0"/>
        <v>1.40834572018997</v>
      </c>
      <c r="K10" s="1">
        <v>39200</v>
      </c>
      <c r="L10" s="1">
        <v>39200</v>
      </c>
      <c r="M10" s="1">
        <v>28</v>
      </c>
      <c r="N10" s="7" t="s">
        <v>485</v>
      </c>
    </row>
    <row r="11" ht="14.25" spans="1:14">
      <c r="A11" s="1" t="s">
        <v>66</v>
      </c>
      <c r="B11" s="3" t="s">
        <v>290</v>
      </c>
      <c r="C11" s="3" t="s">
        <v>486</v>
      </c>
      <c r="D11" s="1">
        <v>3.07</v>
      </c>
      <c r="E11" s="3" t="s">
        <v>487</v>
      </c>
      <c r="F11" s="3" t="s">
        <v>488</v>
      </c>
      <c r="G11" s="4">
        <v>7658</v>
      </c>
      <c r="H11" s="1">
        <v>280</v>
      </c>
      <c r="I11" s="5">
        <v>239.53</v>
      </c>
      <c r="J11">
        <f t="shared" si="0"/>
        <v>1.54192217558255</v>
      </c>
      <c r="K11" s="1">
        <v>106646</v>
      </c>
      <c r="L11" s="1">
        <v>106646</v>
      </c>
      <c r="M11" s="1">
        <v>19</v>
      </c>
      <c r="N11" s="7" t="s">
        <v>489</v>
      </c>
    </row>
    <row r="12" ht="14.25" spans="1:14">
      <c r="A12" s="1" t="s">
        <v>72</v>
      </c>
      <c r="B12" s="3" t="s">
        <v>49</v>
      </c>
      <c r="C12" s="3" t="s">
        <v>356</v>
      </c>
      <c r="D12" s="1">
        <v>1.393</v>
      </c>
      <c r="E12" s="3" t="s">
        <v>490</v>
      </c>
      <c r="F12" s="3" t="s">
        <v>491</v>
      </c>
      <c r="G12" s="4">
        <v>13440</v>
      </c>
      <c r="H12" s="1">
        <v>288</v>
      </c>
      <c r="I12" s="5">
        <v>204.16</v>
      </c>
      <c r="J12">
        <f t="shared" si="0"/>
        <v>1.34081859852286</v>
      </c>
      <c r="K12" s="1">
        <v>81874</v>
      </c>
      <c r="L12" s="1">
        <v>81874</v>
      </c>
      <c r="M12" s="1">
        <v>23</v>
      </c>
      <c r="N12" s="7" t="s">
        <v>492</v>
      </c>
    </row>
    <row r="13" ht="14.25" spans="1:14">
      <c r="A13" s="1" t="s">
        <v>78</v>
      </c>
      <c r="B13" s="3" t="s">
        <v>493</v>
      </c>
      <c r="C13" s="3" t="s">
        <v>109</v>
      </c>
      <c r="D13" s="1">
        <v>0.164</v>
      </c>
      <c r="E13" s="3" t="s">
        <v>494</v>
      </c>
      <c r="F13" s="3" t="s">
        <v>495</v>
      </c>
      <c r="G13" s="4">
        <v>9095</v>
      </c>
      <c r="H13" s="1">
        <v>262</v>
      </c>
      <c r="I13" s="5">
        <v>224.45</v>
      </c>
      <c r="J13">
        <f t="shared" si="0"/>
        <v>1.1104370734715</v>
      </c>
      <c r="K13" s="1">
        <v>74645</v>
      </c>
      <c r="L13" s="1">
        <v>74645</v>
      </c>
      <c r="M13" s="1">
        <v>25</v>
      </c>
      <c r="N13" s="7" t="s">
        <v>496</v>
      </c>
    </row>
    <row r="14" ht="14.25" spans="1:14">
      <c r="A14" s="1" t="s">
        <v>84</v>
      </c>
      <c r="B14" s="3" t="s">
        <v>147</v>
      </c>
      <c r="C14" s="3" t="s">
        <v>497</v>
      </c>
      <c r="D14" s="1">
        <v>0.163</v>
      </c>
      <c r="E14" s="3" t="s">
        <v>498</v>
      </c>
      <c r="F14" s="3" t="s">
        <v>499</v>
      </c>
      <c r="G14" s="4">
        <v>4102</v>
      </c>
      <c r="H14" s="1">
        <v>94</v>
      </c>
      <c r="I14" s="5">
        <v>180.59</v>
      </c>
      <c r="J14">
        <f t="shared" si="0"/>
        <v>1.32231143456077</v>
      </c>
      <c r="K14" s="1">
        <v>34675</v>
      </c>
      <c r="L14" s="1">
        <v>34675</v>
      </c>
      <c r="M14" s="1">
        <v>16</v>
      </c>
      <c r="N14" s="7" t="s">
        <v>500</v>
      </c>
    </row>
    <row r="15" ht="14.25" spans="1:14">
      <c r="A15" s="1" t="s">
        <v>89</v>
      </c>
      <c r="B15" s="3" t="s">
        <v>501</v>
      </c>
      <c r="C15" s="3" t="s">
        <v>388</v>
      </c>
      <c r="D15" s="1">
        <v>0.66</v>
      </c>
      <c r="E15" s="3" t="s">
        <v>502</v>
      </c>
      <c r="F15" s="3" t="s">
        <v>503</v>
      </c>
      <c r="G15" s="4">
        <v>4521</v>
      </c>
      <c r="H15" s="1">
        <v>99</v>
      </c>
      <c r="I15" s="5">
        <v>202.59</v>
      </c>
      <c r="J15">
        <f t="shared" si="0"/>
        <v>1.0601358944231</v>
      </c>
      <c r="K15" s="1">
        <v>64391</v>
      </c>
      <c r="L15" s="1">
        <v>64391</v>
      </c>
      <c r="M15" s="1">
        <v>14</v>
      </c>
      <c r="N15" s="7" t="s">
        <v>190</v>
      </c>
    </row>
    <row r="16" ht="14.25" spans="1:14">
      <c r="A16" s="1" t="s">
        <v>95</v>
      </c>
      <c r="B16" s="3" t="s">
        <v>504</v>
      </c>
      <c r="C16" s="3" t="s">
        <v>356</v>
      </c>
      <c r="D16" s="1">
        <v>0.171</v>
      </c>
      <c r="E16" s="3" t="s">
        <v>505</v>
      </c>
      <c r="F16" s="3" t="s">
        <v>506</v>
      </c>
      <c r="G16" s="4">
        <v>2935</v>
      </c>
      <c r="H16" s="1">
        <v>43</v>
      </c>
      <c r="I16" s="5">
        <v>175.69</v>
      </c>
      <c r="J16">
        <f t="shared" si="0"/>
        <v>1.38594289420221</v>
      </c>
      <c r="K16" s="1">
        <v>34474</v>
      </c>
      <c r="L16" s="1">
        <v>34474</v>
      </c>
      <c r="M16" s="1">
        <v>16</v>
      </c>
      <c r="N16" s="7" t="s">
        <v>507</v>
      </c>
    </row>
    <row r="17" ht="14.25" spans="1:14">
      <c r="A17" s="1" t="s">
        <v>101</v>
      </c>
      <c r="B17" s="3" t="s">
        <v>182</v>
      </c>
      <c r="C17" s="3" t="s">
        <v>50</v>
      </c>
      <c r="D17" s="1">
        <v>0.276</v>
      </c>
      <c r="E17" s="3" t="s">
        <v>508</v>
      </c>
      <c r="F17" s="3" t="s">
        <v>509</v>
      </c>
      <c r="G17" s="4">
        <v>8306</v>
      </c>
      <c r="H17" s="1">
        <v>169</v>
      </c>
      <c r="I17" s="5">
        <v>181.88</v>
      </c>
      <c r="J17">
        <f t="shared" si="0"/>
        <v>1.28865162703824</v>
      </c>
      <c r="K17" s="1">
        <v>59298</v>
      </c>
      <c r="L17" s="1">
        <v>59298</v>
      </c>
      <c r="M17" s="1">
        <v>11</v>
      </c>
      <c r="N17" s="7" t="s">
        <v>510</v>
      </c>
    </row>
    <row r="18" ht="14.25" spans="1:14">
      <c r="A18" s="1" t="s">
        <v>107</v>
      </c>
      <c r="B18" s="3" t="s">
        <v>511</v>
      </c>
      <c r="C18" s="3" t="s">
        <v>62</v>
      </c>
      <c r="D18" s="1">
        <v>0.686</v>
      </c>
      <c r="E18" s="3" t="s">
        <v>512</v>
      </c>
      <c r="F18" s="3" t="s">
        <v>513</v>
      </c>
      <c r="G18" s="4">
        <v>4878</v>
      </c>
      <c r="H18" s="1">
        <v>72</v>
      </c>
      <c r="I18" s="5">
        <v>166.65</v>
      </c>
      <c r="J18">
        <f t="shared" si="0"/>
        <v>1.52016256212998</v>
      </c>
      <c r="K18" s="1">
        <v>36755</v>
      </c>
      <c r="L18" s="1">
        <v>36755</v>
      </c>
      <c r="M18" s="1">
        <v>7</v>
      </c>
      <c r="N18" s="7" t="s">
        <v>514</v>
      </c>
    </row>
    <row r="19" ht="14.25" spans="1:14">
      <c r="A19" s="1" t="s">
        <v>113</v>
      </c>
      <c r="B19" s="3" t="s">
        <v>379</v>
      </c>
      <c r="C19" s="3" t="s">
        <v>515</v>
      </c>
      <c r="D19" s="1">
        <v>0.248</v>
      </c>
      <c r="E19" s="3" t="s">
        <v>516</v>
      </c>
      <c r="F19" s="3" t="s">
        <v>517</v>
      </c>
      <c r="G19" s="4">
        <v>4256</v>
      </c>
      <c r="H19" s="1">
        <v>92</v>
      </c>
      <c r="I19" s="5">
        <v>190.14</v>
      </c>
      <c r="J19">
        <f t="shared" si="0"/>
        <v>1.44644112886501</v>
      </c>
      <c r="K19" s="1">
        <v>46789</v>
      </c>
      <c r="L19" s="1">
        <v>46789</v>
      </c>
      <c r="M19" s="1">
        <v>10</v>
      </c>
      <c r="N19" s="7" t="s">
        <v>518</v>
      </c>
    </row>
    <row r="20" ht="14.25" spans="1:14">
      <c r="A20" s="1" t="s">
        <v>119</v>
      </c>
      <c r="B20" s="3" t="s">
        <v>126</v>
      </c>
      <c r="C20" s="3" t="s">
        <v>519</v>
      </c>
      <c r="D20" s="1">
        <v>0.174</v>
      </c>
      <c r="E20" s="3" t="s">
        <v>520</v>
      </c>
      <c r="F20" s="3" t="s">
        <v>521</v>
      </c>
      <c r="G20" s="4">
        <v>4012</v>
      </c>
      <c r="H20" s="1">
        <v>83</v>
      </c>
      <c r="I20" s="5">
        <v>167.27</v>
      </c>
      <c r="J20">
        <f t="shared" si="0"/>
        <v>1.45577897426274</v>
      </c>
      <c r="K20" s="1">
        <v>40655</v>
      </c>
      <c r="L20" s="1">
        <v>40655</v>
      </c>
      <c r="M20" s="1">
        <v>7</v>
      </c>
      <c r="N20" s="7" t="s">
        <v>522</v>
      </c>
    </row>
    <row r="21" ht="14.25" spans="1:14">
      <c r="A21" s="1" t="s">
        <v>125</v>
      </c>
      <c r="B21" s="3" t="s">
        <v>523</v>
      </c>
      <c r="C21" s="3" t="s">
        <v>524</v>
      </c>
      <c r="D21" s="1">
        <v>0.849</v>
      </c>
      <c r="E21" s="3" t="s">
        <v>525</v>
      </c>
      <c r="F21" s="3" t="s">
        <v>526</v>
      </c>
      <c r="G21" s="4">
        <v>13173</v>
      </c>
      <c r="H21" s="1">
        <v>428</v>
      </c>
      <c r="I21" s="5">
        <v>201.53</v>
      </c>
      <c r="J21">
        <f t="shared" si="0"/>
        <v>1.50587346310058</v>
      </c>
      <c r="K21" s="1">
        <v>63760</v>
      </c>
      <c r="L21" s="1">
        <v>63760</v>
      </c>
      <c r="M21" s="1">
        <v>4</v>
      </c>
      <c r="N21" s="7" t="s">
        <v>527</v>
      </c>
    </row>
    <row r="22" ht="14.25" spans="1:14">
      <c r="A22" s="1" t="s">
        <v>130</v>
      </c>
      <c r="B22" s="3" t="s">
        <v>528</v>
      </c>
      <c r="C22" s="3" t="s">
        <v>56</v>
      </c>
      <c r="D22" s="1">
        <v>0.349</v>
      </c>
      <c r="E22" s="3" t="s">
        <v>529</v>
      </c>
      <c r="F22" s="3" t="s">
        <v>530</v>
      </c>
      <c r="G22" s="4">
        <v>2719</v>
      </c>
      <c r="H22" s="1">
        <v>36</v>
      </c>
      <c r="I22" s="5">
        <v>166.12</v>
      </c>
      <c r="J22">
        <f t="shared" si="0"/>
        <v>1.26305787772347</v>
      </c>
      <c r="K22" s="1">
        <v>31791</v>
      </c>
      <c r="L22" s="1">
        <v>31791</v>
      </c>
      <c r="M22" s="1">
        <v>3</v>
      </c>
      <c r="N22" s="7" t="s">
        <v>531</v>
      </c>
    </row>
    <row r="23" ht="14.25" spans="1:14">
      <c r="A23" s="1" t="s">
        <v>135</v>
      </c>
      <c r="B23" s="3" t="s">
        <v>280</v>
      </c>
      <c r="C23" s="3" t="s">
        <v>532</v>
      </c>
      <c r="D23" s="1">
        <v>0.08</v>
      </c>
      <c r="E23" s="3" t="s">
        <v>533</v>
      </c>
      <c r="F23" s="3" t="s">
        <v>534</v>
      </c>
      <c r="G23" s="4">
        <v>1072</v>
      </c>
      <c r="H23" s="1">
        <v>31</v>
      </c>
      <c r="I23" s="5">
        <v>179.62</v>
      </c>
      <c r="J23">
        <f t="shared" si="0"/>
        <v>1.19222258699325</v>
      </c>
      <c r="K23" s="1">
        <v>38924</v>
      </c>
      <c r="L23" s="1">
        <v>38924</v>
      </c>
      <c r="M23" s="1">
        <v>3</v>
      </c>
      <c r="N23" s="7" t="s">
        <v>535</v>
      </c>
    </row>
    <row r="24" ht="14.25" spans="1:14">
      <c r="A24" s="1" t="s">
        <v>141</v>
      </c>
      <c r="B24" s="3" t="s">
        <v>285</v>
      </c>
      <c r="C24" s="3" t="s">
        <v>536</v>
      </c>
      <c r="D24" s="1">
        <v>1.337</v>
      </c>
      <c r="E24" s="3" t="s">
        <v>537</v>
      </c>
      <c r="F24" s="3" t="s">
        <v>538</v>
      </c>
      <c r="G24" s="4">
        <v>3707</v>
      </c>
      <c r="H24" s="1">
        <v>47</v>
      </c>
      <c r="I24" s="5">
        <v>184.71</v>
      </c>
      <c r="J24">
        <f t="shared" si="0"/>
        <v>1.21954659803109</v>
      </c>
      <c r="K24" s="1">
        <v>48400</v>
      </c>
      <c r="L24" s="1">
        <v>48400</v>
      </c>
      <c r="M24" s="1">
        <v>2</v>
      </c>
      <c r="N24" s="7" t="s">
        <v>539</v>
      </c>
    </row>
    <row r="25" ht="14.25" spans="1:14">
      <c r="A25" s="1" t="s">
        <v>146</v>
      </c>
      <c r="B25" s="3" t="s">
        <v>540</v>
      </c>
      <c r="C25" s="3" t="s">
        <v>148</v>
      </c>
      <c r="D25" s="1">
        <v>0.266</v>
      </c>
      <c r="E25" s="3" t="s">
        <v>541</v>
      </c>
      <c r="F25" s="3" t="s">
        <v>542</v>
      </c>
      <c r="G25" s="4">
        <v>5205</v>
      </c>
      <c r="H25" s="1">
        <v>100</v>
      </c>
      <c r="I25" s="5">
        <v>173.82</v>
      </c>
      <c r="J25">
        <f t="shared" si="0"/>
        <v>1.55207808763565</v>
      </c>
      <c r="K25" s="1">
        <v>34720</v>
      </c>
      <c r="L25" s="1">
        <v>34720</v>
      </c>
      <c r="M25" s="1">
        <v>2</v>
      </c>
      <c r="N25" s="6">
        <v>1</v>
      </c>
    </row>
    <row r="26" ht="14.25" spans="1:14">
      <c r="A26" s="1" t="s">
        <v>152</v>
      </c>
      <c r="B26" s="3" t="s">
        <v>511</v>
      </c>
      <c r="C26" s="3" t="s">
        <v>103</v>
      </c>
      <c r="D26" s="1">
        <v>0.005</v>
      </c>
      <c r="E26" s="3" t="s">
        <v>543</v>
      </c>
      <c r="F26" s="3" t="s">
        <v>544</v>
      </c>
      <c r="G26" s="4">
        <v>2204</v>
      </c>
      <c r="H26" s="1">
        <v>22</v>
      </c>
      <c r="I26" s="5">
        <v>154.62</v>
      </c>
      <c r="J26">
        <f t="shared" si="0"/>
        <v>1.23069464544139</v>
      </c>
      <c r="K26" s="1">
        <v>25694</v>
      </c>
      <c r="L26" s="1">
        <v>25694</v>
      </c>
      <c r="M26" s="1">
        <v>2</v>
      </c>
      <c r="N26" s="7" t="s">
        <v>545</v>
      </c>
    </row>
    <row r="27" ht="14.25" spans="1:14">
      <c r="A27" s="1" t="s">
        <v>158</v>
      </c>
      <c r="B27" s="3" t="s">
        <v>55</v>
      </c>
      <c r="C27" s="3" t="s">
        <v>546</v>
      </c>
      <c r="D27" s="1">
        <v>0.003</v>
      </c>
      <c r="E27" s="3" t="s">
        <v>547</v>
      </c>
      <c r="F27" s="3" t="s">
        <v>548</v>
      </c>
      <c r="G27" s="4">
        <v>2431</v>
      </c>
      <c r="H27" s="1">
        <v>32</v>
      </c>
      <c r="I27" s="5">
        <v>164.05</v>
      </c>
      <c r="J27">
        <f t="shared" si="0"/>
        <v>1.22645412774112</v>
      </c>
      <c r="K27" s="1">
        <v>27100</v>
      </c>
      <c r="L27" s="1">
        <v>27100</v>
      </c>
      <c r="M27" s="1">
        <v>2</v>
      </c>
      <c r="N27" s="7" t="s">
        <v>549</v>
      </c>
    </row>
    <row r="28" ht="14.25" spans="1:14">
      <c r="A28" s="1" t="s">
        <v>164</v>
      </c>
      <c r="B28" s="3" t="s">
        <v>550</v>
      </c>
      <c r="C28" s="3" t="s">
        <v>551</v>
      </c>
      <c r="D28" s="1">
        <v>0.001</v>
      </c>
      <c r="E28" s="3" t="s">
        <v>552</v>
      </c>
      <c r="F28" s="3" t="s">
        <v>553</v>
      </c>
      <c r="G28" s="4">
        <v>312</v>
      </c>
      <c r="H28" s="1">
        <v>11</v>
      </c>
      <c r="I28" s="5">
        <v>143.91</v>
      </c>
      <c r="J28">
        <f t="shared" si="0"/>
        <v>1.9084152910942</v>
      </c>
      <c r="K28" s="1">
        <v>29816</v>
      </c>
      <c r="L28" s="1">
        <v>29816</v>
      </c>
      <c r="M28" s="1">
        <v>1</v>
      </c>
      <c r="N28" s="7" t="s">
        <v>554</v>
      </c>
    </row>
    <row r="29" ht="14.25" spans="1:14">
      <c r="A29" s="1" t="s">
        <v>170</v>
      </c>
      <c r="B29" s="3" t="s">
        <v>443</v>
      </c>
      <c r="C29" s="3" t="s">
        <v>497</v>
      </c>
      <c r="D29" s="1">
        <v>0.036</v>
      </c>
      <c r="E29" s="3" t="s">
        <v>555</v>
      </c>
      <c r="F29" s="3" t="s">
        <v>556</v>
      </c>
      <c r="G29" s="4">
        <v>3157</v>
      </c>
      <c r="H29" s="1">
        <v>44</v>
      </c>
      <c r="I29" s="5">
        <v>178.73</v>
      </c>
      <c r="J29">
        <f t="shared" si="0"/>
        <v>1.47536488118055</v>
      </c>
      <c r="K29" s="1">
        <v>46492</v>
      </c>
      <c r="L29" s="1">
        <v>46492</v>
      </c>
      <c r="M29" s="1">
        <v>1</v>
      </c>
      <c r="N29" s="7" t="s">
        <v>204</v>
      </c>
    </row>
    <row r="30" ht="14.25" spans="1:14">
      <c r="A30" s="1" t="s">
        <v>175</v>
      </c>
      <c r="B30" s="3" t="s">
        <v>557</v>
      </c>
      <c r="C30" s="3" t="s">
        <v>558</v>
      </c>
      <c r="D30" s="1">
        <v>0.006</v>
      </c>
      <c r="E30" s="3" t="s">
        <v>559</v>
      </c>
      <c r="F30" s="3" t="s">
        <v>560</v>
      </c>
      <c r="G30" s="4">
        <v>1423</v>
      </c>
      <c r="H30" s="1">
        <v>26</v>
      </c>
      <c r="I30" s="5">
        <v>159.76</v>
      </c>
      <c r="J30">
        <f t="shared" si="0"/>
        <v>1.2602254649334</v>
      </c>
      <c r="K30" s="1">
        <v>26247</v>
      </c>
      <c r="L30" s="1">
        <v>26247</v>
      </c>
      <c r="M30" s="1">
        <v>1</v>
      </c>
      <c r="N30" s="7" t="s">
        <v>561</v>
      </c>
    </row>
    <row r="31" ht="14.25" spans="1:14">
      <c r="A31" s="1" t="s">
        <v>180</v>
      </c>
      <c r="B31" s="3" t="s">
        <v>562</v>
      </c>
      <c r="C31" s="3" t="s">
        <v>56</v>
      </c>
      <c r="D31" s="1">
        <v>0.002</v>
      </c>
      <c r="E31" s="3" t="s">
        <v>563</v>
      </c>
      <c r="F31" s="3" t="s">
        <v>564</v>
      </c>
      <c r="G31" s="4">
        <v>483</v>
      </c>
      <c r="H31" s="1">
        <v>10</v>
      </c>
      <c r="I31" s="5">
        <v>145.93</v>
      </c>
      <c r="J31">
        <f t="shared" si="0"/>
        <v>1.08584927595985</v>
      </c>
      <c r="K31" s="1">
        <v>40269</v>
      </c>
      <c r="L31" s="1">
        <v>40269</v>
      </c>
      <c r="M31" s="1">
        <v>0</v>
      </c>
      <c r="N31" s="7" t="s">
        <v>565</v>
      </c>
    </row>
    <row r="32" ht="14.25" spans="1:14">
      <c r="A32" s="1" t="s">
        <v>186</v>
      </c>
      <c r="B32" s="3" t="s">
        <v>218</v>
      </c>
      <c r="C32" s="3" t="s">
        <v>109</v>
      </c>
      <c r="D32" s="1">
        <v>0.055</v>
      </c>
      <c r="E32" s="3" t="s">
        <v>566</v>
      </c>
      <c r="F32" s="3" t="s">
        <v>567</v>
      </c>
      <c r="G32" s="4">
        <v>715</v>
      </c>
      <c r="H32" s="1">
        <v>13</v>
      </c>
      <c r="I32" s="5">
        <v>165.26</v>
      </c>
      <c r="J32">
        <f t="shared" si="0"/>
        <v>0.917661253222461</v>
      </c>
      <c r="K32" s="1">
        <v>42760</v>
      </c>
      <c r="L32" s="1">
        <v>42760</v>
      </c>
      <c r="M32" s="1">
        <v>0</v>
      </c>
      <c r="N32" s="7" t="s">
        <v>568</v>
      </c>
    </row>
    <row r="33" ht="14.25" spans="1:14">
      <c r="A33" s="1" t="s">
        <v>191</v>
      </c>
      <c r="B33" s="3" t="s">
        <v>31</v>
      </c>
      <c r="C33" s="3" t="s">
        <v>569</v>
      </c>
      <c r="D33" s="1">
        <v>0.002</v>
      </c>
      <c r="E33" s="3" t="s">
        <v>570</v>
      </c>
      <c r="F33" s="3" t="s">
        <v>571</v>
      </c>
      <c r="G33" s="4">
        <v>1716</v>
      </c>
      <c r="H33" s="1">
        <v>43</v>
      </c>
      <c r="I33" s="5">
        <v>163.67</v>
      </c>
      <c r="J33">
        <f t="shared" si="0"/>
        <v>1.2434580878814</v>
      </c>
      <c r="K33" s="1">
        <v>41700</v>
      </c>
      <c r="L33" s="1">
        <v>41700</v>
      </c>
      <c r="M33" s="1">
        <v>0</v>
      </c>
      <c r="N33" s="7" t="s">
        <v>572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G1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1.3805309734513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31</v>
      </c>
      <c r="C3" s="3" t="s">
        <v>573</v>
      </c>
      <c r="D3" s="1">
        <v>0.436</v>
      </c>
      <c r="E3" s="3" t="s">
        <v>574</v>
      </c>
      <c r="F3" s="3" t="s">
        <v>575</v>
      </c>
      <c r="G3" s="4">
        <v>15369</v>
      </c>
      <c r="H3" s="1">
        <v>271</v>
      </c>
      <c r="I3" s="5">
        <v>276.38</v>
      </c>
      <c r="J3">
        <f>E3/F3</f>
        <v>2.19559968169073</v>
      </c>
      <c r="K3" s="1">
        <v>140822</v>
      </c>
      <c r="L3" s="1">
        <v>140822</v>
      </c>
      <c r="M3" s="1">
        <v>786</v>
      </c>
      <c r="N3" s="7" t="s">
        <v>576</v>
      </c>
    </row>
    <row r="4" ht="14.25" spans="1:14">
      <c r="A4" s="1" t="s">
        <v>24</v>
      </c>
      <c r="B4" s="3" t="s">
        <v>345</v>
      </c>
      <c r="C4" s="3" t="s">
        <v>50</v>
      </c>
      <c r="D4" s="1">
        <v>0.723</v>
      </c>
      <c r="E4" s="3" t="s">
        <v>577</v>
      </c>
      <c r="F4" s="3" t="s">
        <v>578</v>
      </c>
      <c r="G4" s="4">
        <v>3764</v>
      </c>
      <c r="H4" s="1">
        <v>48</v>
      </c>
      <c r="I4" s="5">
        <v>237.53</v>
      </c>
      <c r="J4">
        <f t="shared" ref="J4:J33" si="0">E4/F4</f>
        <v>1.08288965280588</v>
      </c>
      <c r="K4" s="1">
        <v>128742</v>
      </c>
      <c r="L4" s="1">
        <v>128742</v>
      </c>
      <c r="M4" s="1">
        <v>423</v>
      </c>
      <c r="N4" s="7" t="s">
        <v>579</v>
      </c>
    </row>
    <row r="5" ht="14.25" spans="1:14">
      <c r="A5" s="1" t="s">
        <v>30</v>
      </c>
      <c r="B5" s="3" t="s">
        <v>349</v>
      </c>
      <c r="C5" s="3" t="s">
        <v>580</v>
      </c>
      <c r="D5" s="1">
        <v>0.039</v>
      </c>
      <c r="E5" s="3" t="s">
        <v>581</v>
      </c>
      <c r="F5" s="3" t="s">
        <v>582</v>
      </c>
      <c r="G5" s="4">
        <v>5575</v>
      </c>
      <c r="H5" s="1">
        <v>60</v>
      </c>
      <c r="I5" s="5">
        <v>199.53</v>
      </c>
      <c r="J5">
        <f t="shared" si="0"/>
        <v>1.50045540273242</v>
      </c>
      <c r="K5" s="1">
        <v>40783</v>
      </c>
      <c r="L5" s="1">
        <v>40783</v>
      </c>
      <c r="M5" s="1">
        <v>568</v>
      </c>
      <c r="N5" s="7" t="s">
        <v>583</v>
      </c>
    </row>
    <row r="6" ht="14.25" spans="1:14">
      <c r="A6" s="1" t="s">
        <v>36</v>
      </c>
      <c r="B6" s="3" t="s">
        <v>383</v>
      </c>
      <c r="C6" s="3" t="s">
        <v>584</v>
      </c>
      <c r="D6" s="1">
        <v>0.387</v>
      </c>
      <c r="E6" s="3" t="s">
        <v>585</v>
      </c>
      <c r="F6" s="3" t="s">
        <v>586</v>
      </c>
      <c r="G6" s="4">
        <v>2531</v>
      </c>
      <c r="H6" s="1">
        <v>39</v>
      </c>
      <c r="I6" s="5">
        <v>206.3</v>
      </c>
      <c r="J6">
        <f t="shared" si="0"/>
        <v>1.54194681727908</v>
      </c>
      <c r="K6" s="1">
        <v>36540</v>
      </c>
      <c r="L6" s="1">
        <v>36540</v>
      </c>
      <c r="M6" s="1">
        <v>186</v>
      </c>
      <c r="N6" s="7" t="s">
        <v>587</v>
      </c>
    </row>
    <row r="7" ht="14.25" spans="1:14">
      <c r="A7" s="1" t="s">
        <v>42</v>
      </c>
      <c r="B7" s="3" t="s">
        <v>588</v>
      </c>
      <c r="C7" s="3" t="s">
        <v>589</v>
      </c>
      <c r="D7" s="1">
        <v>0.001</v>
      </c>
      <c r="E7" s="3" t="s">
        <v>590</v>
      </c>
      <c r="F7" s="3" t="s">
        <v>591</v>
      </c>
      <c r="G7" s="4">
        <v>2153</v>
      </c>
      <c r="H7" s="1">
        <v>27</v>
      </c>
      <c r="I7" s="5">
        <v>214.55</v>
      </c>
      <c r="J7">
        <f t="shared" si="0"/>
        <v>1.05258472237266</v>
      </c>
      <c r="K7" s="1">
        <v>71101</v>
      </c>
      <c r="L7" s="1">
        <v>71101</v>
      </c>
      <c r="M7" s="1">
        <v>165</v>
      </c>
      <c r="N7" s="7" t="s">
        <v>592</v>
      </c>
    </row>
    <row r="8" ht="14.25" spans="1:14">
      <c r="A8" s="1" t="s">
        <v>48</v>
      </c>
      <c r="B8" s="3" t="s">
        <v>593</v>
      </c>
      <c r="C8" s="3" t="s">
        <v>38</v>
      </c>
      <c r="D8" s="1">
        <v>0.108</v>
      </c>
      <c r="E8" s="3" t="s">
        <v>594</v>
      </c>
      <c r="F8" s="3" t="s">
        <v>595</v>
      </c>
      <c r="G8" s="4">
        <v>3612</v>
      </c>
      <c r="H8" s="1">
        <v>73</v>
      </c>
      <c r="I8" s="5">
        <v>226.4</v>
      </c>
      <c r="J8">
        <f t="shared" si="0"/>
        <v>1.31626381500978</v>
      </c>
      <c r="K8" s="1">
        <v>65825</v>
      </c>
      <c r="L8" s="1">
        <v>65825</v>
      </c>
      <c r="M8" s="1">
        <v>86</v>
      </c>
      <c r="N8" s="7" t="s">
        <v>596</v>
      </c>
    </row>
    <row r="9" ht="14.25" spans="1:14">
      <c r="A9" s="1" t="s">
        <v>54</v>
      </c>
      <c r="B9" s="3" t="s">
        <v>597</v>
      </c>
      <c r="C9" s="3" t="s">
        <v>62</v>
      </c>
      <c r="D9" s="1">
        <v>0.03</v>
      </c>
      <c r="E9" s="3" t="s">
        <v>598</v>
      </c>
      <c r="F9" s="3" t="s">
        <v>599</v>
      </c>
      <c r="G9" s="4">
        <v>2047</v>
      </c>
      <c r="H9" s="1">
        <v>44</v>
      </c>
      <c r="I9" s="5">
        <v>208.2</v>
      </c>
      <c r="J9">
        <f t="shared" si="0"/>
        <v>1.22045824504012</v>
      </c>
      <c r="K9" s="1">
        <v>50675</v>
      </c>
      <c r="L9" s="1">
        <v>50675</v>
      </c>
      <c r="M9" s="1">
        <v>58</v>
      </c>
      <c r="N9" s="7" t="s">
        <v>600</v>
      </c>
    </row>
    <row r="10" ht="14.25" spans="1:14">
      <c r="A10" s="1" t="s">
        <v>60</v>
      </c>
      <c r="B10" s="3" t="s">
        <v>182</v>
      </c>
      <c r="C10" s="3" t="s">
        <v>482</v>
      </c>
      <c r="D10" s="1">
        <v>0.003</v>
      </c>
      <c r="E10" s="3" t="s">
        <v>601</v>
      </c>
      <c r="F10" s="3" t="s">
        <v>602</v>
      </c>
      <c r="G10" s="4">
        <v>1826</v>
      </c>
      <c r="H10" s="1">
        <v>37</v>
      </c>
      <c r="I10" s="5">
        <v>209.93</v>
      </c>
      <c r="J10">
        <f t="shared" si="0"/>
        <v>1.28746943508222</v>
      </c>
      <c r="K10" s="1">
        <v>39502</v>
      </c>
      <c r="L10" s="1">
        <v>39502</v>
      </c>
      <c r="M10" s="1">
        <v>49</v>
      </c>
      <c r="N10" s="7" t="s">
        <v>603</v>
      </c>
    </row>
    <row r="11" ht="14.25" spans="1:14">
      <c r="A11" s="1" t="s">
        <v>66</v>
      </c>
      <c r="B11" s="3" t="s">
        <v>102</v>
      </c>
      <c r="C11" s="3" t="s">
        <v>604</v>
      </c>
      <c r="D11" s="1">
        <v>2.879</v>
      </c>
      <c r="E11" s="3" t="s">
        <v>605</v>
      </c>
      <c r="F11" s="3" t="s">
        <v>606</v>
      </c>
      <c r="G11" s="4">
        <v>8242</v>
      </c>
      <c r="H11" s="1">
        <v>298</v>
      </c>
      <c r="I11" s="5">
        <v>278.11</v>
      </c>
      <c r="J11">
        <f t="shared" si="0"/>
        <v>1.94354790220354</v>
      </c>
      <c r="K11" s="1">
        <v>113566</v>
      </c>
      <c r="L11" s="1">
        <v>113566</v>
      </c>
      <c r="M11" s="1">
        <v>36</v>
      </c>
      <c r="N11" s="7" t="s">
        <v>607</v>
      </c>
    </row>
    <row r="12" ht="14.25" spans="1:14">
      <c r="A12" s="1" t="s">
        <v>72</v>
      </c>
      <c r="B12" s="3" t="s">
        <v>214</v>
      </c>
      <c r="C12" s="3" t="s">
        <v>171</v>
      </c>
      <c r="D12" s="1">
        <v>1.461</v>
      </c>
      <c r="E12" s="3" t="s">
        <v>608</v>
      </c>
      <c r="F12" s="3" t="s">
        <v>609</v>
      </c>
      <c r="G12" s="4">
        <v>11394</v>
      </c>
      <c r="H12" s="1">
        <v>316</v>
      </c>
      <c r="I12" s="5">
        <v>244.01</v>
      </c>
      <c r="J12">
        <f t="shared" si="0"/>
        <v>1.36779556398839</v>
      </c>
      <c r="K12" s="1">
        <v>88085</v>
      </c>
      <c r="L12" s="1">
        <v>88085</v>
      </c>
      <c r="M12" s="1">
        <v>42</v>
      </c>
      <c r="N12" s="7" t="s">
        <v>610</v>
      </c>
    </row>
    <row r="13" ht="14.25" spans="1:14">
      <c r="A13" s="1" t="s">
        <v>78</v>
      </c>
      <c r="B13" s="3" t="s">
        <v>227</v>
      </c>
      <c r="C13" s="3" t="s">
        <v>611</v>
      </c>
      <c r="D13" s="1">
        <v>0.2</v>
      </c>
      <c r="E13" s="3" t="s">
        <v>612</v>
      </c>
      <c r="F13" s="3" t="s">
        <v>613</v>
      </c>
      <c r="G13" s="4">
        <v>9304</v>
      </c>
      <c r="H13" s="1">
        <v>290</v>
      </c>
      <c r="I13" s="5">
        <v>264.85</v>
      </c>
      <c r="J13">
        <f t="shared" si="0"/>
        <v>1.18093312192871</v>
      </c>
      <c r="K13" s="1">
        <v>80007</v>
      </c>
      <c r="L13" s="1">
        <v>80007</v>
      </c>
      <c r="M13" s="1">
        <v>46</v>
      </c>
      <c r="N13" s="7" t="s">
        <v>614</v>
      </c>
    </row>
    <row r="14" ht="14.25" spans="1:14">
      <c r="A14" s="1" t="s">
        <v>84</v>
      </c>
      <c r="B14" s="3" t="s">
        <v>444</v>
      </c>
      <c r="C14" s="3" t="s">
        <v>210</v>
      </c>
      <c r="D14" s="1">
        <v>0.2</v>
      </c>
      <c r="E14" s="3" t="s">
        <v>615</v>
      </c>
      <c r="F14" s="3" t="s">
        <v>616</v>
      </c>
      <c r="G14" s="4">
        <v>4817</v>
      </c>
      <c r="H14" s="1">
        <v>100</v>
      </c>
      <c r="I14" s="5">
        <v>211.28</v>
      </c>
      <c r="J14">
        <f t="shared" si="0"/>
        <v>1.33207111274307</v>
      </c>
      <c r="K14" s="1">
        <v>36698</v>
      </c>
      <c r="L14" s="1">
        <v>36698</v>
      </c>
      <c r="M14" s="1">
        <v>29</v>
      </c>
      <c r="N14" s="7" t="s">
        <v>617</v>
      </c>
    </row>
    <row r="15" ht="14.25" spans="1:14">
      <c r="A15" s="1" t="s">
        <v>89</v>
      </c>
      <c r="B15" s="3" t="s">
        <v>618</v>
      </c>
      <c r="C15" s="3" t="s">
        <v>619</v>
      </c>
      <c r="D15" s="1">
        <v>0.503</v>
      </c>
      <c r="E15" s="3" t="s">
        <v>620</v>
      </c>
      <c r="F15" s="3" t="s">
        <v>621</v>
      </c>
      <c r="G15" s="4">
        <v>4783</v>
      </c>
      <c r="H15" s="1">
        <v>105</v>
      </c>
      <c r="I15" s="5">
        <v>245.21</v>
      </c>
      <c r="J15">
        <f t="shared" si="0"/>
        <v>1.09351934237182</v>
      </c>
      <c r="K15" s="1">
        <v>69796</v>
      </c>
      <c r="L15" s="1">
        <v>69796</v>
      </c>
      <c r="M15" s="1">
        <v>25</v>
      </c>
      <c r="N15" s="7" t="s">
        <v>323</v>
      </c>
    </row>
    <row r="16" ht="14.25" spans="1:14">
      <c r="A16" s="1" t="s">
        <v>95</v>
      </c>
      <c r="B16" s="3" t="s">
        <v>396</v>
      </c>
      <c r="C16" s="3" t="s">
        <v>62</v>
      </c>
      <c r="D16" s="1">
        <v>0.159</v>
      </c>
      <c r="E16" s="3" t="s">
        <v>622</v>
      </c>
      <c r="F16" s="3" t="s">
        <v>623</v>
      </c>
      <c r="G16" s="4">
        <v>3426</v>
      </c>
      <c r="H16" s="1">
        <v>45</v>
      </c>
      <c r="I16" s="5">
        <v>208.35</v>
      </c>
      <c r="J16">
        <f t="shared" si="0"/>
        <v>1.34921871506469</v>
      </c>
      <c r="K16" s="1">
        <v>36531</v>
      </c>
      <c r="L16" s="1">
        <v>36531</v>
      </c>
      <c r="M16" s="1">
        <v>31</v>
      </c>
      <c r="N16" s="7" t="s">
        <v>624</v>
      </c>
    </row>
    <row r="17" ht="14.25" spans="1:14">
      <c r="A17" s="1" t="s">
        <v>101</v>
      </c>
      <c r="B17" s="3" t="s">
        <v>625</v>
      </c>
      <c r="C17" s="3" t="s">
        <v>171</v>
      </c>
      <c r="D17" s="1">
        <v>0.19</v>
      </c>
      <c r="E17" s="3" t="s">
        <v>626</v>
      </c>
      <c r="F17" s="3" t="s">
        <v>627</v>
      </c>
      <c r="G17" s="4">
        <v>8593</v>
      </c>
      <c r="H17" s="1">
        <v>182</v>
      </c>
      <c r="I17" s="5">
        <v>220.66</v>
      </c>
      <c r="J17">
        <f t="shared" si="0"/>
        <v>1.30022398014875</v>
      </c>
      <c r="K17" s="1">
        <v>62917</v>
      </c>
      <c r="L17" s="1">
        <v>62917</v>
      </c>
      <c r="M17" s="1">
        <v>21</v>
      </c>
      <c r="N17" s="7" t="s">
        <v>628</v>
      </c>
    </row>
    <row r="18" ht="14.25" spans="1:14">
      <c r="A18" s="1" t="s">
        <v>107</v>
      </c>
      <c r="B18" s="3" t="s">
        <v>629</v>
      </c>
      <c r="C18" s="3" t="s">
        <v>630</v>
      </c>
      <c r="D18" s="1">
        <v>1.182</v>
      </c>
      <c r="E18" s="3" t="s">
        <v>631</v>
      </c>
      <c r="F18" s="3" t="s">
        <v>632</v>
      </c>
      <c r="G18" s="4">
        <v>6007</v>
      </c>
      <c r="H18" s="1">
        <v>75</v>
      </c>
      <c r="I18" s="5">
        <v>205.34</v>
      </c>
      <c r="J18">
        <f t="shared" si="0"/>
        <v>1.51530258394151</v>
      </c>
      <c r="K18" s="1">
        <v>38860</v>
      </c>
      <c r="L18" s="1">
        <v>38860</v>
      </c>
      <c r="M18" s="1">
        <v>13</v>
      </c>
      <c r="N18" s="7" t="s">
        <v>633</v>
      </c>
    </row>
    <row r="19" ht="14.25" spans="1:14">
      <c r="A19" s="1" t="s">
        <v>113</v>
      </c>
      <c r="B19" s="3" t="s">
        <v>634</v>
      </c>
      <c r="C19" s="3" t="s">
        <v>388</v>
      </c>
      <c r="D19" s="1">
        <v>0.22</v>
      </c>
      <c r="E19" s="3" t="s">
        <v>635</v>
      </c>
      <c r="F19" s="3" t="s">
        <v>636</v>
      </c>
      <c r="G19" s="4">
        <v>4935</v>
      </c>
      <c r="H19" s="1">
        <v>98</v>
      </c>
      <c r="I19" s="5">
        <v>226.75</v>
      </c>
      <c r="J19">
        <f t="shared" si="0"/>
        <v>1.40086350601195</v>
      </c>
      <c r="K19" s="1">
        <v>50822</v>
      </c>
      <c r="L19" s="1">
        <v>50822</v>
      </c>
      <c r="M19" s="1">
        <v>19</v>
      </c>
      <c r="N19" s="7" t="s">
        <v>637</v>
      </c>
    </row>
    <row r="20" ht="14.25" spans="1:14">
      <c r="A20" s="1" t="s">
        <v>119</v>
      </c>
      <c r="B20" s="3" t="s">
        <v>638</v>
      </c>
      <c r="C20" s="3" t="s">
        <v>639</v>
      </c>
      <c r="D20" s="1">
        <v>0.231</v>
      </c>
      <c r="E20" s="3" t="s">
        <v>640</v>
      </c>
      <c r="F20" s="3" t="s">
        <v>641</v>
      </c>
      <c r="G20" s="4">
        <v>4628</v>
      </c>
      <c r="H20" s="1">
        <v>88</v>
      </c>
      <c r="I20" s="5">
        <v>206.38</v>
      </c>
      <c r="J20">
        <f t="shared" si="0"/>
        <v>1.49536576403998</v>
      </c>
      <c r="K20" s="1">
        <v>43298</v>
      </c>
      <c r="L20" s="1">
        <v>43298</v>
      </c>
      <c r="M20" s="1">
        <v>14</v>
      </c>
      <c r="N20" s="7" t="s">
        <v>642</v>
      </c>
    </row>
    <row r="21" ht="14.25" spans="1:14">
      <c r="A21" s="1" t="s">
        <v>125</v>
      </c>
      <c r="B21" s="3" t="s">
        <v>643</v>
      </c>
      <c r="C21" s="3" t="s">
        <v>644</v>
      </c>
      <c r="D21" s="1">
        <v>0.77</v>
      </c>
      <c r="E21" s="3" t="s">
        <v>645</v>
      </c>
      <c r="F21" s="3" t="s">
        <v>646</v>
      </c>
      <c r="G21" s="4">
        <v>14443</v>
      </c>
      <c r="H21" s="1">
        <v>463</v>
      </c>
      <c r="I21" s="5">
        <v>240.95</v>
      </c>
      <c r="J21">
        <f t="shared" si="0"/>
        <v>1.67662912581412</v>
      </c>
      <c r="K21" s="1">
        <v>68268</v>
      </c>
      <c r="L21" s="1">
        <v>68268</v>
      </c>
      <c r="M21" s="1">
        <v>8</v>
      </c>
      <c r="N21" s="7" t="s">
        <v>647</v>
      </c>
    </row>
    <row r="22" ht="14.25" spans="1:14">
      <c r="A22" s="1" t="s">
        <v>130</v>
      </c>
      <c r="B22" s="3" t="s">
        <v>519</v>
      </c>
      <c r="C22" s="3" t="s">
        <v>103</v>
      </c>
      <c r="D22" s="1">
        <v>0.397</v>
      </c>
      <c r="E22" s="3" t="s">
        <v>648</v>
      </c>
      <c r="F22" s="3" t="s">
        <v>649</v>
      </c>
      <c r="G22" s="4">
        <v>3207</v>
      </c>
      <c r="H22" s="1">
        <v>37</v>
      </c>
      <c r="I22" s="5">
        <v>207.23</v>
      </c>
      <c r="J22">
        <f t="shared" si="0"/>
        <v>1.25797023063805</v>
      </c>
      <c r="K22" s="1">
        <v>34059</v>
      </c>
      <c r="L22" s="1">
        <v>34059</v>
      </c>
      <c r="M22" s="1">
        <v>6</v>
      </c>
      <c r="N22" s="7" t="s">
        <v>106</v>
      </c>
    </row>
    <row r="23" ht="14.25" spans="1:14">
      <c r="A23" s="1" t="s">
        <v>135</v>
      </c>
      <c r="B23" s="3" t="s">
        <v>299</v>
      </c>
      <c r="C23" s="3" t="s">
        <v>650</v>
      </c>
      <c r="D23" s="1">
        <v>0.09</v>
      </c>
      <c r="E23" s="3" t="s">
        <v>651</v>
      </c>
      <c r="F23" s="3" t="s">
        <v>652</v>
      </c>
      <c r="G23" s="4">
        <v>1249</v>
      </c>
      <c r="H23" s="1">
        <v>31</v>
      </c>
      <c r="I23" s="5">
        <v>230.33</v>
      </c>
      <c r="J23">
        <f t="shared" si="0"/>
        <v>1.14834768278637</v>
      </c>
      <c r="K23" s="1">
        <v>41156</v>
      </c>
      <c r="L23" s="1">
        <v>41156</v>
      </c>
      <c r="M23" s="1">
        <v>5</v>
      </c>
      <c r="N23" s="7" t="s">
        <v>653</v>
      </c>
    </row>
    <row r="24" ht="14.25" spans="1:14">
      <c r="A24" s="1" t="s">
        <v>141</v>
      </c>
      <c r="B24" s="3" t="s">
        <v>395</v>
      </c>
      <c r="C24" s="3" t="s">
        <v>62</v>
      </c>
      <c r="D24" s="1">
        <v>0.957</v>
      </c>
      <c r="E24" s="3" t="s">
        <v>654</v>
      </c>
      <c r="F24" s="3" t="s">
        <v>655</v>
      </c>
      <c r="G24" s="4">
        <v>4134</v>
      </c>
      <c r="H24" s="1">
        <v>50</v>
      </c>
      <c r="I24" s="5">
        <v>221.84</v>
      </c>
      <c r="J24">
        <f t="shared" si="0"/>
        <v>1.25369360593957</v>
      </c>
      <c r="K24" s="1">
        <v>53000</v>
      </c>
      <c r="L24" s="1">
        <v>53000</v>
      </c>
      <c r="M24" s="1">
        <v>4</v>
      </c>
      <c r="N24" s="7" t="s">
        <v>656</v>
      </c>
    </row>
    <row r="25" ht="14.25" spans="1:14">
      <c r="A25" s="1" t="s">
        <v>146</v>
      </c>
      <c r="B25" s="3" t="s">
        <v>56</v>
      </c>
      <c r="C25" s="3" t="s">
        <v>657</v>
      </c>
      <c r="D25" s="1">
        <v>0.181</v>
      </c>
      <c r="E25" s="3" t="s">
        <v>658</v>
      </c>
      <c r="F25" s="3" t="s">
        <v>659</v>
      </c>
      <c r="G25" s="4">
        <v>5540</v>
      </c>
      <c r="H25" s="1">
        <v>107</v>
      </c>
      <c r="I25" s="5">
        <v>215.48</v>
      </c>
      <c r="J25">
        <f t="shared" si="0"/>
        <v>1.55326931409397</v>
      </c>
      <c r="K25" s="1">
        <v>36415</v>
      </c>
      <c r="L25" s="1">
        <v>36415</v>
      </c>
      <c r="M25" s="1">
        <v>3</v>
      </c>
      <c r="N25" s="7" t="s">
        <v>660</v>
      </c>
    </row>
    <row r="26" ht="14.25" spans="1:14">
      <c r="A26" s="1" t="s">
        <v>152</v>
      </c>
      <c r="B26" s="3" t="s">
        <v>345</v>
      </c>
      <c r="C26" s="3" t="s">
        <v>639</v>
      </c>
      <c r="D26" s="1">
        <v>0.056</v>
      </c>
      <c r="E26" s="3" t="s">
        <v>661</v>
      </c>
      <c r="F26" s="3" t="s">
        <v>662</v>
      </c>
      <c r="G26" s="4">
        <v>2753</v>
      </c>
      <c r="H26" s="1">
        <v>23</v>
      </c>
      <c r="I26" s="5">
        <v>193.29</v>
      </c>
      <c r="J26">
        <f t="shared" si="0"/>
        <v>1.29205296743137</v>
      </c>
      <c r="K26" s="1">
        <v>29033</v>
      </c>
      <c r="L26" s="1">
        <v>29033</v>
      </c>
      <c r="M26" s="1">
        <v>3</v>
      </c>
      <c r="N26" s="7" t="s">
        <v>663</v>
      </c>
    </row>
    <row r="27" ht="14.25" spans="1:14">
      <c r="A27" s="1" t="s">
        <v>158</v>
      </c>
      <c r="B27" s="3" t="s">
        <v>519</v>
      </c>
      <c r="C27" s="3" t="s">
        <v>210</v>
      </c>
      <c r="D27" s="1">
        <v>0.002</v>
      </c>
      <c r="E27" s="3" t="s">
        <v>664</v>
      </c>
      <c r="F27" s="3" t="s">
        <v>665</v>
      </c>
      <c r="G27" s="4">
        <v>2865</v>
      </c>
      <c r="H27" s="1">
        <v>33</v>
      </c>
      <c r="I27" s="5">
        <v>203.76</v>
      </c>
      <c r="J27">
        <f t="shared" si="0"/>
        <v>1.18647828925721</v>
      </c>
      <c r="K27" s="1">
        <v>28850</v>
      </c>
      <c r="L27" s="1">
        <v>28850</v>
      </c>
      <c r="M27" s="1">
        <v>3</v>
      </c>
      <c r="N27" s="7" t="s">
        <v>666</v>
      </c>
    </row>
    <row r="28" ht="14.25" spans="1:14">
      <c r="A28" s="1" t="s">
        <v>164</v>
      </c>
      <c r="B28" s="3" t="s">
        <v>550</v>
      </c>
      <c r="C28" s="3" t="s">
        <v>667</v>
      </c>
      <c r="D28" s="1">
        <v>0.002</v>
      </c>
      <c r="E28" s="3" t="s">
        <v>668</v>
      </c>
      <c r="F28" s="3" t="s">
        <v>669</v>
      </c>
      <c r="G28" s="4">
        <v>375</v>
      </c>
      <c r="H28" s="1">
        <v>11</v>
      </c>
      <c r="I28" s="5">
        <v>186.38</v>
      </c>
      <c r="J28">
        <f t="shared" si="0"/>
        <v>1.7280476726179</v>
      </c>
      <c r="K28" s="1">
        <v>32601</v>
      </c>
      <c r="L28" s="1">
        <v>32601</v>
      </c>
      <c r="M28" s="1">
        <v>2</v>
      </c>
      <c r="N28" s="7" t="s">
        <v>670</v>
      </c>
    </row>
    <row r="29" ht="14.25" spans="1:14">
      <c r="A29" s="1" t="s">
        <v>170</v>
      </c>
      <c r="B29" s="3" t="s">
        <v>671</v>
      </c>
      <c r="C29" s="3" t="s">
        <v>672</v>
      </c>
      <c r="D29" s="1">
        <v>0.075</v>
      </c>
      <c r="E29" s="3" t="s">
        <v>673</v>
      </c>
      <c r="F29" s="3" t="s">
        <v>674</v>
      </c>
      <c r="G29" s="4">
        <v>3642</v>
      </c>
      <c r="H29" s="1">
        <v>46</v>
      </c>
      <c r="I29" s="5">
        <v>216.12</v>
      </c>
      <c r="J29">
        <f t="shared" si="0"/>
        <v>1.47918525906872</v>
      </c>
      <c r="K29" s="1">
        <v>47310</v>
      </c>
      <c r="L29" s="1">
        <v>47310</v>
      </c>
      <c r="M29" s="1">
        <v>2</v>
      </c>
      <c r="N29" s="7" t="s">
        <v>335</v>
      </c>
    </row>
    <row r="30" ht="14.25" spans="1:14">
      <c r="A30" s="1" t="s">
        <v>175</v>
      </c>
      <c r="B30" s="3" t="s">
        <v>528</v>
      </c>
      <c r="C30" s="3" t="s">
        <v>675</v>
      </c>
      <c r="D30" s="1">
        <v>0.011</v>
      </c>
      <c r="E30" s="3" t="s">
        <v>676</v>
      </c>
      <c r="F30" s="3" t="s">
        <v>677</v>
      </c>
      <c r="G30" s="4">
        <v>1674</v>
      </c>
      <c r="H30" s="1">
        <v>26</v>
      </c>
      <c r="I30" s="5">
        <v>199.78</v>
      </c>
      <c r="J30">
        <f t="shared" si="0"/>
        <v>1.18724092042401</v>
      </c>
      <c r="K30" s="1">
        <v>25945</v>
      </c>
      <c r="L30" s="1">
        <v>25945</v>
      </c>
      <c r="M30" s="1">
        <v>2</v>
      </c>
      <c r="N30" s="7" t="s">
        <v>678</v>
      </c>
    </row>
    <row r="31" ht="14.25" spans="1:14">
      <c r="A31" s="1" t="s">
        <v>180</v>
      </c>
      <c r="B31" s="3" t="s">
        <v>26</v>
      </c>
      <c r="C31" s="3" t="s">
        <v>679</v>
      </c>
      <c r="D31" s="1">
        <v>0</v>
      </c>
      <c r="E31" s="3" t="s">
        <v>680</v>
      </c>
      <c r="F31" s="3" t="s">
        <v>681</v>
      </c>
      <c r="G31" s="4">
        <v>572</v>
      </c>
      <c r="H31" s="1">
        <v>10</v>
      </c>
      <c r="I31" s="5">
        <v>195.15</v>
      </c>
      <c r="J31">
        <f t="shared" si="0"/>
        <v>1.02026892527468</v>
      </c>
      <c r="K31" s="1">
        <v>42085</v>
      </c>
      <c r="L31" s="1">
        <v>42085</v>
      </c>
      <c r="M31" s="1">
        <v>1</v>
      </c>
      <c r="N31" s="7" t="s">
        <v>682</v>
      </c>
    </row>
    <row r="32" ht="14.25" spans="1:14">
      <c r="A32" s="1" t="s">
        <v>186</v>
      </c>
      <c r="B32" s="3" t="s">
        <v>634</v>
      </c>
      <c r="C32" s="3" t="s">
        <v>683</v>
      </c>
      <c r="D32" s="1">
        <v>0.05</v>
      </c>
      <c r="E32" s="3" t="s">
        <v>684</v>
      </c>
      <c r="F32" s="3" t="s">
        <v>685</v>
      </c>
      <c r="G32" s="4">
        <v>836</v>
      </c>
      <c r="H32" s="1">
        <v>13</v>
      </c>
      <c r="I32" s="5">
        <v>214.7</v>
      </c>
      <c r="J32">
        <f t="shared" si="0"/>
        <v>0.936438900883829</v>
      </c>
      <c r="K32" s="1">
        <v>45000</v>
      </c>
      <c r="L32" s="1">
        <v>45000</v>
      </c>
      <c r="M32" s="1">
        <v>1</v>
      </c>
      <c r="N32" s="7" t="s">
        <v>686</v>
      </c>
    </row>
    <row r="33" ht="14.25" spans="1:14">
      <c r="A33" s="1" t="s">
        <v>191</v>
      </c>
      <c r="B33" s="3" t="s">
        <v>562</v>
      </c>
      <c r="C33" s="3" t="s">
        <v>687</v>
      </c>
      <c r="D33" s="1">
        <v>0.009</v>
      </c>
      <c r="E33" s="3" t="s">
        <v>688</v>
      </c>
      <c r="F33" s="3" t="s">
        <v>689</v>
      </c>
      <c r="G33" s="4">
        <v>1928</v>
      </c>
      <c r="H33" s="1">
        <v>45</v>
      </c>
      <c r="I33" s="5">
        <v>205.49</v>
      </c>
      <c r="J33">
        <f t="shared" si="0"/>
        <v>1.30555946248469</v>
      </c>
      <c r="K33" s="1">
        <v>41800</v>
      </c>
      <c r="L33" s="1">
        <v>41800</v>
      </c>
      <c r="M33" s="1">
        <v>0</v>
      </c>
      <c r="N33" s="7" t="s">
        <v>157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G1" workbookViewId="0">
      <selection activeCell="N4" sqref="N4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19.5221238938053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280</v>
      </c>
      <c r="C3" s="3" t="s">
        <v>690</v>
      </c>
      <c r="D3" s="1">
        <v>0.349</v>
      </c>
      <c r="E3" s="3" t="s">
        <v>691</v>
      </c>
      <c r="F3" s="3" t="s">
        <v>692</v>
      </c>
      <c r="G3" s="4">
        <v>12034</v>
      </c>
      <c r="H3" s="1">
        <v>292</v>
      </c>
      <c r="I3" s="5">
        <v>286.37</v>
      </c>
      <c r="J3">
        <f>E3/F3</f>
        <v>2.17148106194912</v>
      </c>
      <c r="K3" s="1">
        <v>156821</v>
      </c>
      <c r="L3" s="1">
        <v>156821</v>
      </c>
      <c r="M3" s="1">
        <v>1452</v>
      </c>
      <c r="N3" s="7" t="s">
        <v>693</v>
      </c>
    </row>
    <row r="4" ht="14.25" spans="1:14">
      <c r="A4" s="1" t="s">
        <v>24</v>
      </c>
      <c r="B4" s="3" t="s">
        <v>694</v>
      </c>
      <c r="C4" s="3" t="s">
        <v>62</v>
      </c>
      <c r="D4" s="1">
        <v>0.567</v>
      </c>
      <c r="E4" s="3" t="s">
        <v>695</v>
      </c>
      <c r="F4" s="3" t="s">
        <v>696</v>
      </c>
      <c r="G4" s="4">
        <v>3905</v>
      </c>
      <c r="H4" s="1">
        <v>50</v>
      </c>
      <c r="I4" s="5">
        <v>245.84</v>
      </c>
      <c r="J4">
        <f t="shared" ref="J4:J33" si="0">E4/F4</f>
        <v>1.04566280077513</v>
      </c>
      <c r="K4" s="1">
        <v>137660</v>
      </c>
      <c r="L4" s="1">
        <v>137660</v>
      </c>
      <c r="M4" s="1">
        <v>785</v>
      </c>
      <c r="N4" s="7" t="s">
        <v>697</v>
      </c>
    </row>
    <row r="5" ht="14.25" spans="1:14">
      <c r="A5" s="1" t="s">
        <v>30</v>
      </c>
      <c r="B5" s="3" t="s">
        <v>698</v>
      </c>
      <c r="C5" s="3" t="s">
        <v>699</v>
      </c>
      <c r="D5" s="1">
        <v>0.027</v>
      </c>
      <c r="E5" s="3" t="s">
        <v>700</v>
      </c>
      <c r="F5" s="3" t="s">
        <v>701</v>
      </c>
      <c r="G5" s="4">
        <v>6894</v>
      </c>
      <c r="H5" s="1">
        <v>62</v>
      </c>
      <c r="I5" s="5">
        <v>214.36</v>
      </c>
      <c r="J5">
        <f t="shared" si="0"/>
        <v>1.48621232484298</v>
      </c>
      <c r="K5" s="1">
        <v>43623</v>
      </c>
      <c r="L5" s="1">
        <v>43623</v>
      </c>
      <c r="M5" s="1">
        <v>1126</v>
      </c>
      <c r="N5" s="7" t="s">
        <v>702</v>
      </c>
    </row>
    <row r="6" ht="14.25" spans="1:14">
      <c r="A6" s="1" t="s">
        <v>36</v>
      </c>
      <c r="B6" s="3" t="s">
        <v>703</v>
      </c>
      <c r="C6" s="3" t="s">
        <v>704</v>
      </c>
      <c r="D6" s="1">
        <v>0.582</v>
      </c>
      <c r="E6" s="3" t="s">
        <v>705</v>
      </c>
      <c r="F6" s="3" t="s">
        <v>706</v>
      </c>
      <c r="G6" s="4">
        <v>3076</v>
      </c>
      <c r="H6" s="1">
        <v>40</v>
      </c>
      <c r="I6" s="5">
        <v>224.81</v>
      </c>
      <c r="J6">
        <f t="shared" si="0"/>
        <v>1.51642325547123</v>
      </c>
      <c r="K6" s="1">
        <v>37285</v>
      </c>
      <c r="L6" s="1">
        <v>37285</v>
      </c>
      <c r="M6" s="1">
        <v>365</v>
      </c>
      <c r="N6" s="7" t="s">
        <v>77</v>
      </c>
    </row>
    <row r="7" ht="14.25" spans="1:14">
      <c r="A7" s="1" t="s">
        <v>42</v>
      </c>
      <c r="B7" s="3" t="s">
        <v>707</v>
      </c>
      <c r="C7" s="3" t="s">
        <v>436</v>
      </c>
      <c r="D7" s="1">
        <v>0.002</v>
      </c>
      <c r="E7" s="3" t="s">
        <v>708</v>
      </c>
      <c r="F7" s="3" t="s">
        <v>709</v>
      </c>
      <c r="G7" s="4">
        <v>2478</v>
      </c>
      <c r="H7" s="1">
        <v>27</v>
      </c>
      <c r="I7" s="5">
        <v>229.93</v>
      </c>
      <c r="J7">
        <f t="shared" si="0"/>
        <v>1.09184750070021</v>
      </c>
      <c r="K7" s="1">
        <v>72211</v>
      </c>
      <c r="L7" s="1">
        <v>72211</v>
      </c>
      <c r="M7" s="1">
        <v>326</v>
      </c>
      <c r="N7" s="7" t="s">
        <v>710</v>
      </c>
    </row>
    <row r="8" ht="14.25" spans="1:14">
      <c r="A8" s="1" t="s">
        <v>48</v>
      </c>
      <c r="B8" s="3" t="s">
        <v>711</v>
      </c>
      <c r="C8" s="3" t="s">
        <v>20</v>
      </c>
      <c r="D8" s="1">
        <v>0.145</v>
      </c>
      <c r="E8" s="3" t="s">
        <v>712</v>
      </c>
      <c r="F8" s="3" t="s">
        <v>713</v>
      </c>
      <c r="G8" s="4">
        <v>3947</v>
      </c>
      <c r="H8" s="1">
        <v>75</v>
      </c>
      <c r="I8" s="5">
        <v>231.41</v>
      </c>
      <c r="J8">
        <f t="shared" si="0"/>
        <v>1.33621982112392</v>
      </c>
      <c r="K8" s="1">
        <v>51132</v>
      </c>
      <c r="L8" s="1">
        <v>51132</v>
      </c>
      <c r="M8" s="1">
        <v>168</v>
      </c>
      <c r="N8" s="7" t="s">
        <v>714</v>
      </c>
    </row>
    <row r="9" ht="14.25" spans="1:14">
      <c r="A9" s="1" t="s">
        <v>54</v>
      </c>
      <c r="B9" s="3" t="s">
        <v>265</v>
      </c>
      <c r="C9" s="3" t="s">
        <v>715</v>
      </c>
      <c r="D9" s="1">
        <v>0.04</v>
      </c>
      <c r="E9" s="3" t="s">
        <v>716</v>
      </c>
      <c r="F9" s="3" t="s">
        <v>717</v>
      </c>
      <c r="G9" s="4">
        <v>2419</v>
      </c>
      <c r="H9" s="1">
        <v>45</v>
      </c>
      <c r="I9" s="5">
        <v>217.07</v>
      </c>
      <c r="J9">
        <f t="shared" si="0"/>
        <v>1.22917735541214</v>
      </c>
      <c r="K9" s="1">
        <v>53054</v>
      </c>
      <c r="L9" s="1">
        <v>53054</v>
      </c>
      <c r="M9" s="1">
        <v>115</v>
      </c>
      <c r="N9" s="7" t="s">
        <v>718</v>
      </c>
    </row>
    <row r="10" ht="14.25" spans="1:14">
      <c r="A10" s="1" t="s">
        <v>60</v>
      </c>
      <c r="B10" s="3" t="s">
        <v>493</v>
      </c>
      <c r="C10" s="3" t="s">
        <v>580</v>
      </c>
      <c r="D10" s="1">
        <v>0.002</v>
      </c>
      <c r="E10" s="3" t="s">
        <v>719</v>
      </c>
      <c r="F10" s="3" t="s">
        <v>720</v>
      </c>
      <c r="G10" s="4">
        <v>2104</v>
      </c>
      <c r="H10" s="1">
        <v>38</v>
      </c>
      <c r="I10" s="5">
        <v>221.89</v>
      </c>
      <c r="J10">
        <f t="shared" si="0"/>
        <v>1.23822582963807</v>
      </c>
      <c r="K10" s="1">
        <v>40450</v>
      </c>
      <c r="L10" s="1">
        <v>40450</v>
      </c>
      <c r="M10" s="1">
        <v>98</v>
      </c>
      <c r="N10" s="7" t="s">
        <v>721</v>
      </c>
    </row>
    <row r="11" ht="14.25" spans="1:14">
      <c r="A11" s="1" t="s">
        <v>66</v>
      </c>
      <c r="B11" s="3" t="s">
        <v>435</v>
      </c>
      <c r="C11" s="3" t="s">
        <v>722</v>
      </c>
      <c r="D11" s="1">
        <v>2.494</v>
      </c>
      <c r="E11" s="3" t="s">
        <v>723</v>
      </c>
      <c r="F11" s="3" t="s">
        <v>724</v>
      </c>
      <c r="G11" s="4">
        <v>8124</v>
      </c>
      <c r="H11" s="1">
        <v>315</v>
      </c>
      <c r="I11" s="5">
        <v>282.22</v>
      </c>
      <c r="J11">
        <f t="shared" si="0"/>
        <v>1.84239437500261</v>
      </c>
      <c r="K11" s="1">
        <v>126974</v>
      </c>
      <c r="L11" s="1">
        <v>126974</v>
      </c>
      <c r="M11" s="1">
        <v>75</v>
      </c>
      <c r="N11" s="7" t="s">
        <v>725</v>
      </c>
    </row>
    <row r="12" ht="14.25" spans="1:14">
      <c r="A12" s="1" t="s">
        <v>72</v>
      </c>
      <c r="B12" s="3" t="s">
        <v>431</v>
      </c>
      <c r="C12" s="3" t="s">
        <v>726</v>
      </c>
      <c r="D12" s="1">
        <v>1.064</v>
      </c>
      <c r="E12" s="3" t="s">
        <v>727</v>
      </c>
      <c r="F12" s="3" t="s">
        <v>728</v>
      </c>
      <c r="G12" s="4">
        <v>16850</v>
      </c>
      <c r="H12" s="1">
        <v>344</v>
      </c>
      <c r="I12" s="5">
        <v>253.75</v>
      </c>
      <c r="J12">
        <f t="shared" si="0"/>
        <v>1.35091400305216</v>
      </c>
      <c r="K12" s="1">
        <v>96707</v>
      </c>
      <c r="L12" s="1">
        <v>96707</v>
      </c>
      <c r="M12" s="1">
        <v>86</v>
      </c>
      <c r="N12" s="7" t="s">
        <v>729</v>
      </c>
    </row>
    <row r="13" ht="14.25" spans="1:14">
      <c r="A13" s="1" t="s">
        <v>78</v>
      </c>
      <c r="B13" s="3" t="s">
        <v>730</v>
      </c>
      <c r="C13" s="3" t="s">
        <v>731</v>
      </c>
      <c r="D13" s="1">
        <v>0.199</v>
      </c>
      <c r="E13" s="3" t="s">
        <v>732</v>
      </c>
      <c r="F13" s="3" t="s">
        <v>733</v>
      </c>
      <c r="G13" s="4">
        <v>13337</v>
      </c>
      <c r="H13" s="1">
        <v>321</v>
      </c>
      <c r="I13" s="5">
        <v>268.1</v>
      </c>
      <c r="J13">
        <f t="shared" si="0"/>
        <v>1.2166847789547</v>
      </c>
      <c r="K13" s="1">
        <v>88941</v>
      </c>
      <c r="L13" s="1">
        <v>88941</v>
      </c>
      <c r="M13" s="1">
        <v>92</v>
      </c>
      <c r="N13" s="7" t="s">
        <v>734</v>
      </c>
    </row>
    <row r="14" ht="14.25" spans="1:14">
      <c r="A14" s="1" t="s">
        <v>84</v>
      </c>
      <c r="B14" s="3" t="s">
        <v>345</v>
      </c>
      <c r="C14" s="3" t="s">
        <v>735</v>
      </c>
      <c r="D14" s="1">
        <v>0.138</v>
      </c>
      <c r="E14" s="3" t="s">
        <v>736</v>
      </c>
      <c r="F14" s="3" t="s">
        <v>737</v>
      </c>
      <c r="G14" s="4">
        <v>5797</v>
      </c>
      <c r="H14" s="1">
        <v>106</v>
      </c>
      <c r="I14" s="5">
        <v>228.78</v>
      </c>
      <c r="J14">
        <f t="shared" si="0"/>
        <v>1.34280979382281</v>
      </c>
      <c r="K14" s="1">
        <v>40628</v>
      </c>
      <c r="L14" s="1">
        <v>40628</v>
      </c>
      <c r="M14" s="1">
        <v>58</v>
      </c>
      <c r="N14" s="7" t="s">
        <v>738</v>
      </c>
    </row>
    <row r="15" ht="14.25" spans="1:14">
      <c r="A15" s="1" t="s">
        <v>89</v>
      </c>
      <c r="B15" s="3" t="s">
        <v>739</v>
      </c>
      <c r="C15" s="3" t="s">
        <v>740</v>
      </c>
      <c r="D15" s="1">
        <v>0.454</v>
      </c>
      <c r="E15" s="3" t="s">
        <v>741</v>
      </c>
      <c r="F15" s="3" t="s">
        <v>742</v>
      </c>
      <c r="G15" s="4">
        <v>5954</v>
      </c>
      <c r="H15" s="1">
        <v>112</v>
      </c>
      <c r="I15" s="5">
        <v>252.67</v>
      </c>
      <c r="J15">
        <f t="shared" si="0"/>
        <v>1.07144599981793</v>
      </c>
      <c r="K15" s="1">
        <v>77216</v>
      </c>
      <c r="L15" s="1">
        <v>77216</v>
      </c>
      <c r="M15" s="1">
        <v>49</v>
      </c>
      <c r="N15" s="7" t="s">
        <v>450</v>
      </c>
    </row>
    <row r="16" ht="14.25" spans="1:14">
      <c r="A16" s="1" t="s">
        <v>95</v>
      </c>
      <c r="B16" s="3" t="s">
        <v>743</v>
      </c>
      <c r="C16" s="3" t="s">
        <v>744</v>
      </c>
      <c r="D16" s="1">
        <v>0.171</v>
      </c>
      <c r="E16" s="3" t="s">
        <v>745</v>
      </c>
      <c r="F16" s="3" t="s">
        <v>746</v>
      </c>
      <c r="G16" s="4">
        <v>4153</v>
      </c>
      <c r="H16" s="1">
        <v>48</v>
      </c>
      <c r="I16" s="5">
        <v>223.76</v>
      </c>
      <c r="J16">
        <f t="shared" si="0"/>
        <v>1.33220383358592</v>
      </c>
      <c r="K16" s="1">
        <v>40105</v>
      </c>
      <c r="L16" s="1">
        <v>40105</v>
      </c>
      <c r="M16" s="1">
        <v>62</v>
      </c>
      <c r="N16" s="7" t="s">
        <v>747</v>
      </c>
    </row>
    <row r="17" ht="14.25" spans="1:14">
      <c r="A17" s="1" t="s">
        <v>101</v>
      </c>
      <c r="B17" s="3" t="s">
        <v>91</v>
      </c>
      <c r="C17" s="3" t="s">
        <v>482</v>
      </c>
      <c r="D17" s="1">
        <v>0.234</v>
      </c>
      <c r="E17" s="3" t="s">
        <v>748</v>
      </c>
      <c r="F17" s="3" t="s">
        <v>749</v>
      </c>
      <c r="G17" s="4">
        <v>10593</v>
      </c>
      <c r="H17" s="1">
        <v>195</v>
      </c>
      <c r="I17" s="5">
        <v>232.57</v>
      </c>
      <c r="J17">
        <f t="shared" si="0"/>
        <v>1.31328695530623</v>
      </c>
      <c r="K17" s="1">
        <v>67713</v>
      </c>
      <c r="L17" s="1">
        <v>67713</v>
      </c>
      <c r="M17" s="1">
        <v>42</v>
      </c>
      <c r="N17" s="7" t="s">
        <v>750</v>
      </c>
    </row>
    <row r="18" ht="14.25" spans="1:14">
      <c r="A18" s="1" t="s">
        <v>107</v>
      </c>
      <c r="B18" s="3" t="s">
        <v>751</v>
      </c>
      <c r="C18" s="3" t="s">
        <v>752</v>
      </c>
      <c r="D18" s="1">
        <v>1.01</v>
      </c>
      <c r="E18" s="3" t="s">
        <v>753</v>
      </c>
      <c r="F18" s="3" t="s">
        <v>754</v>
      </c>
      <c r="G18" s="4">
        <v>7056</v>
      </c>
      <c r="H18" s="1">
        <v>78</v>
      </c>
      <c r="I18" s="5">
        <v>223.12</v>
      </c>
      <c r="J18">
        <f t="shared" si="0"/>
        <v>1.4803525078353</v>
      </c>
      <c r="K18" s="1">
        <v>42247</v>
      </c>
      <c r="L18" s="1">
        <v>42247</v>
      </c>
      <c r="M18" s="1">
        <v>26</v>
      </c>
      <c r="N18" s="7" t="s">
        <v>755</v>
      </c>
    </row>
    <row r="19" ht="14.25" spans="1:14">
      <c r="A19" s="1" t="s">
        <v>113</v>
      </c>
      <c r="B19" s="3" t="s">
        <v>239</v>
      </c>
      <c r="C19" s="3" t="s">
        <v>756</v>
      </c>
      <c r="D19" s="1">
        <v>0.206</v>
      </c>
      <c r="E19" s="3" t="s">
        <v>757</v>
      </c>
      <c r="F19" s="3" t="s">
        <v>758</v>
      </c>
      <c r="G19" s="4">
        <v>5849</v>
      </c>
      <c r="H19" s="1">
        <v>104</v>
      </c>
      <c r="I19" s="5">
        <v>239.86</v>
      </c>
      <c r="J19">
        <f t="shared" si="0"/>
        <v>1.36935893604304</v>
      </c>
      <c r="K19" s="1">
        <v>56090</v>
      </c>
      <c r="L19" s="1">
        <v>56090</v>
      </c>
      <c r="M19" s="1">
        <v>38</v>
      </c>
      <c r="N19" s="7" t="s">
        <v>759</v>
      </c>
    </row>
    <row r="20" ht="14.25" spans="1:14">
      <c r="A20" s="1" t="s">
        <v>119</v>
      </c>
      <c r="B20" s="3" t="s">
        <v>760</v>
      </c>
      <c r="C20" s="3" t="s">
        <v>761</v>
      </c>
      <c r="D20" s="1">
        <v>0.174</v>
      </c>
      <c r="E20" s="3" t="s">
        <v>762</v>
      </c>
      <c r="F20" s="3" t="s">
        <v>763</v>
      </c>
      <c r="G20" s="4">
        <v>5472</v>
      </c>
      <c r="H20" s="1">
        <v>94</v>
      </c>
      <c r="I20" s="5">
        <v>217.69</v>
      </c>
      <c r="J20">
        <f t="shared" si="0"/>
        <v>1.52536112130116</v>
      </c>
      <c r="K20" s="1">
        <v>46943</v>
      </c>
      <c r="L20" s="1">
        <v>46943</v>
      </c>
      <c r="M20" s="1">
        <v>28</v>
      </c>
      <c r="N20" s="7" t="s">
        <v>764</v>
      </c>
    </row>
    <row r="21" ht="14.25" spans="1:14">
      <c r="A21" s="1" t="s">
        <v>125</v>
      </c>
      <c r="B21" s="3" t="s">
        <v>765</v>
      </c>
      <c r="C21" s="3" t="s">
        <v>766</v>
      </c>
      <c r="D21" s="1">
        <v>0.666</v>
      </c>
      <c r="E21" s="3" t="s">
        <v>767</v>
      </c>
      <c r="F21" s="3" t="s">
        <v>768</v>
      </c>
      <c r="G21" s="4">
        <v>21656</v>
      </c>
      <c r="H21" s="1">
        <v>498</v>
      </c>
      <c r="I21" s="5">
        <v>248</v>
      </c>
      <c r="J21">
        <f t="shared" si="0"/>
        <v>1.62112834755317</v>
      </c>
      <c r="K21" s="1">
        <v>75469</v>
      </c>
      <c r="L21" s="1">
        <v>75469</v>
      </c>
      <c r="M21" s="1">
        <v>16</v>
      </c>
      <c r="N21" s="7" t="s">
        <v>769</v>
      </c>
    </row>
    <row r="22" ht="14.25" spans="1:14">
      <c r="A22" s="1" t="s">
        <v>130</v>
      </c>
      <c r="B22" s="3" t="s">
        <v>770</v>
      </c>
      <c r="C22" s="3" t="s">
        <v>771</v>
      </c>
      <c r="D22" s="1">
        <v>0.351</v>
      </c>
      <c r="E22" s="3" t="s">
        <v>772</v>
      </c>
      <c r="F22" s="3" t="s">
        <v>773</v>
      </c>
      <c r="G22" s="4">
        <v>3891</v>
      </c>
      <c r="H22" s="1">
        <v>38</v>
      </c>
      <c r="I22" s="5">
        <v>223.32</v>
      </c>
      <c r="J22">
        <f t="shared" si="0"/>
        <v>1.23435724065359</v>
      </c>
      <c r="K22" s="1">
        <v>37000</v>
      </c>
      <c r="L22" s="1">
        <v>37000</v>
      </c>
      <c r="M22" s="1">
        <v>13</v>
      </c>
      <c r="N22" s="7" t="s">
        <v>260</v>
      </c>
    </row>
    <row r="23" ht="14.25" spans="1:14">
      <c r="A23" s="1" t="s">
        <v>135</v>
      </c>
      <c r="B23" s="3" t="s">
        <v>774</v>
      </c>
      <c r="C23" s="3" t="s">
        <v>775</v>
      </c>
      <c r="D23" s="1">
        <v>0.093</v>
      </c>
      <c r="E23" s="3" t="s">
        <v>776</v>
      </c>
      <c r="F23" s="3" t="s">
        <v>777</v>
      </c>
      <c r="G23" s="4">
        <v>1537</v>
      </c>
      <c r="H23" s="1">
        <v>32</v>
      </c>
      <c r="I23" s="5">
        <v>231.56</v>
      </c>
      <c r="J23">
        <f t="shared" si="0"/>
        <v>1.18634042912984</v>
      </c>
      <c r="K23" s="1">
        <v>44600</v>
      </c>
      <c r="L23" s="1">
        <v>44600</v>
      </c>
      <c r="M23" s="1">
        <v>11</v>
      </c>
      <c r="N23" s="7" t="s">
        <v>778</v>
      </c>
    </row>
    <row r="24" ht="14.25" spans="1:14">
      <c r="A24" s="1" t="s">
        <v>141</v>
      </c>
      <c r="B24" s="3" t="s">
        <v>379</v>
      </c>
      <c r="C24" s="3" t="s">
        <v>569</v>
      </c>
      <c r="D24" s="1">
        <v>0.691</v>
      </c>
      <c r="E24" s="3" t="s">
        <v>779</v>
      </c>
      <c r="F24" s="3" t="s">
        <v>780</v>
      </c>
      <c r="G24" s="4">
        <v>4977</v>
      </c>
      <c r="H24" s="1">
        <v>52</v>
      </c>
      <c r="I24" s="5">
        <v>233.89</v>
      </c>
      <c r="J24">
        <f t="shared" si="0"/>
        <v>1.25998573117167</v>
      </c>
      <c r="K24" s="1">
        <v>59600</v>
      </c>
      <c r="L24" s="1">
        <v>59600</v>
      </c>
      <c r="M24" s="1">
        <v>9</v>
      </c>
      <c r="N24" s="7" t="s">
        <v>781</v>
      </c>
    </row>
    <row r="25" ht="14.25" spans="1:14">
      <c r="A25" s="1" t="s">
        <v>146</v>
      </c>
      <c r="B25" s="3" t="s">
        <v>782</v>
      </c>
      <c r="C25" s="3" t="s">
        <v>783</v>
      </c>
      <c r="D25" s="1">
        <v>0.296</v>
      </c>
      <c r="E25" s="3" t="s">
        <v>784</v>
      </c>
      <c r="F25" s="3" t="s">
        <v>785</v>
      </c>
      <c r="G25" s="4">
        <v>6467</v>
      </c>
      <c r="H25" s="1">
        <v>114</v>
      </c>
      <c r="I25" s="5">
        <v>225.41</v>
      </c>
      <c r="J25">
        <f t="shared" si="0"/>
        <v>1.53623784850887</v>
      </c>
      <c r="K25" s="1">
        <v>39648</v>
      </c>
      <c r="L25" s="1">
        <v>39648</v>
      </c>
      <c r="M25" s="1">
        <v>6</v>
      </c>
      <c r="N25" s="7" t="s">
        <v>786</v>
      </c>
    </row>
    <row r="26" ht="14.25" spans="1:14">
      <c r="A26" s="1" t="s">
        <v>152</v>
      </c>
      <c r="B26" s="3" t="s">
        <v>787</v>
      </c>
      <c r="C26" s="3" t="s">
        <v>426</v>
      </c>
      <c r="D26" s="1">
        <v>0.068</v>
      </c>
      <c r="E26" s="3" t="s">
        <v>788</v>
      </c>
      <c r="F26" s="3" t="s">
        <v>789</v>
      </c>
      <c r="G26" s="4">
        <v>3368</v>
      </c>
      <c r="H26" s="1">
        <v>24</v>
      </c>
      <c r="I26" s="5">
        <v>209.45</v>
      </c>
      <c r="J26">
        <f t="shared" si="0"/>
        <v>1.32683630791981</v>
      </c>
      <c r="K26" s="1">
        <v>32286</v>
      </c>
      <c r="L26" s="1">
        <v>32286</v>
      </c>
      <c r="M26" s="1">
        <v>7</v>
      </c>
      <c r="N26" s="7" t="s">
        <v>790</v>
      </c>
    </row>
    <row r="27" ht="14.25" spans="1:14">
      <c r="A27" s="1" t="s">
        <v>158</v>
      </c>
      <c r="B27" s="3" t="s">
        <v>791</v>
      </c>
      <c r="C27" s="3" t="s">
        <v>792</v>
      </c>
      <c r="D27" s="1">
        <v>0.013</v>
      </c>
      <c r="E27" s="3" t="s">
        <v>793</v>
      </c>
      <c r="F27" s="3" t="s">
        <v>794</v>
      </c>
      <c r="G27" s="4">
        <v>3429</v>
      </c>
      <c r="H27" s="1">
        <v>34</v>
      </c>
      <c r="I27" s="5">
        <v>217.34</v>
      </c>
      <c r="J27">
        <f t="shared" si="0"/>
        <v>1.18858619629839</v>
      </c>
      <c r="K27" s="1">
        <v>31000</v>
      </c>
      <c r="L27" s="1">
        <v>31000</v>
      </c>
      <c r="M27" s="1">
        <v>6</v>
      </c>
      <c r="N27" s="7" t="s">
        <v>795</v>
      </c>
    </row>
    <row r="28" ht="14.25" spans="1:14">
      <c r="A28" s="1" t="s">
        <v>164</v>
      </c>
      <c r="B28" s="3" t="s">
        <v>796</v>
      </c>
      <c r="C28" s="3" t="s">
        <v>501</v>
      </c>
      <c r="D28" s="1">
        <v>0.001</v>
      </c>
      <c r="E28" s="3" t="s">
        <v>797</v>
      </c>
      <c r="F28" s="3" t="s">
        <v>798</v>
      </c>
      <c r="G28" s="4">
        <v>431</v>
      </c>
      <c r="H28" s="1">
        <v>12</v>
      </c>
      <c r="I28" s="5">
        <v>204.73</v>
      </c>
      <c r="J28">
        <f t="shared" si="0"/>
        <v>1.43659467828278</v>
      </c>
      <c r="K28" s="1">
        <v>36271</v>
      </c>
      <c r="L28" s="1">
        <v>36271</v>
      </c>
      <c r="M28" s="1">
        <v>4</v>
      </c>
      <c r="N28" s="7" t="s">
        <v>799</v>
      </c>
    </row>
    <row r="29" ht="14.25" spans="1:14">
      <c r="A29" s="1" t="s">
        <v>170</v>
      </c>
      <c r="B29" s="3" t="s">
        <v>800</v>
      </c>
      <c r="C29" s="3" t="s">
        <v>801</v>
      </c>
      <c r="D29" s="1">
        <v>0.059</v>
      </c>
      <c r="E29" s="3" t="s">
        <v>802</v>
      </c>
      <c r="F29" s="3" t="s">
        <v>803</v>
      </c>
      <c r="G29" s="4">
        <v>4385</v>
      </c>
      <c r="H29" s="1">
        <v>48</v>
      </c>
      <c r="I29" s="5">
        <v>229.37</v>
      </c>
      <c r="J29">
        <f t="shared" si="0"/>
        <v>1.4740263627083</v>
      </c>
      <c r="K29" s="1">
        <v>50700</v>
      </c>
      <c r="L29" s="1">
        <v>50700</v>
      </c>
      <c r="M29" s="1">
        <v>5</v>
      </c>
      <c r="N29" s="7" t="s">
        <v>462</v>
      </c>
    </row>
    <row r="30" ht="14.25" spans="1:14">
      <c r="A30" s="1" t="s">
        <v>175</v>
      </c>
      <c r="B30" s="3" t="s">
        <v>804</v>
      </c>
      <c r="C30" s="3" t="s">
        <v>805</v>
      </c>
      <c r="D30" s="1">
        <v>0.029</v>
      </c>
      <c r="E30" s="3" t="s">
        <v>806</v>
      </c>
      <c r="F30" s="3" t="s">
        <v>807</v>
      </c>
      <c r="G30" s="4">
        <v>1982</v>
      </c>
      <c r="H30" s="1">
        <v>27</v>
      </c>
      <c r="I30" s="5">
        <v>204.11</v>
      </c>
      <c r="J30">
        <f t="shared" si="0"/>
        <v>1.09978708321587</v>
      </c>
      <c r="K30" s="1">
        <v>27500</v>
      </c>
      <c r="L30" s="1">
        <v>27500</v>
      </c>
      <c r="M30" s="1">
        <v>4</v>
      </c>
      <c r="N30" s="7" t="s">
        <v>808</v>
      </c>
    </row>
    <row r="31" ht="14.25" spans="1:14">
      <c r="A31" s="1" t="s">
        <v>180</v>
      </c>
      <c r="B31" s="3" t="s">
        <v>253</v>
      </c>
      <c r="C31" s="3" t="s">
        <v>809</v>
      </c>
      <c r="D31" s="1">
        <v>0.001</v>
      </c>
      <c r="E31" s="3" t="s">
        <v>810</v>
      </c>
      <c r="F31" s="3" t="s">
        <v>811</v>
      </c>
      <c r="G31" s="4">
        <v>659</v>
      </c>
      <c r="H31" s="1">
        <v>11</v>
      </c>
      <c r="I31" s="5">
        <v>200.38</v>
      </c>
      <c r="J31">
        <f t="shared" si="0"/>
        <v>0.97709002371807</v>
      </c>
      <c r="K31" s="1">
        <v>44700</v>
      </c>
      <c r="L31" s="1">
        <v>44700</v>
      </c>
      <c r="M31" s="1">
        <v>2</v>
      </c>
      <c r="N31" s="7" t="s">
        <v>812</v>
      </c>
    </row>
    <row r="32" ht="14.25" spans="1:14">
      <c r="A32" s="1" t="s">
        <v>186</v>
      </c>
      <c r="B32" s="3" t="s">
        <v>813</v>
      </c>
      <c r="C32" s="3" t="s">
        <v>232</v>
      </c>
      <c r="D32" s="1">
        <v>0.002</v>
      </c>
      <c r="E32" s="3" t="s">
        <v>814</v>
      </c>
      <c r="F32" s="3" t="s">
        <v>815</v>
      </c>
      <c r="G32" s="4">
        <v>974</v>
      </c>
      <c r="H32" s="1">
        <v>14</v>
      </c>
      <c r="I32" s="5">
        <v>212.36</v>
      </c>
      <c r="J32">
        <f t="shared" si="0"/>
        <v>0.958684751999663</v>
      </c>
      <c r="K32" s="1">
        <v>48400</v>
      </c>
      <c r="L32" s="1">
        <v>48400</v>
      </c>
      <c r="M32" s="1">
        <v>2</v>
      </c>
      <c r="N32" s="7" t="s">
        <v>816</v>
      </c>
    </row>
    <row r="33" ht="14.25" spans="1:14">
      <c r="A33" s="1" t="s">
        <v>191</v>
      </c>
      <c r="B33" s="3" t="s">
        <v>817</v>
      </c>
      <c r="C33" s="3" t="s">
        <v>818</v>
      </c>
      <c r="D33" s="1">
        <v>0.024</v>
      </c>
      <c r="E33" s="3" t="s">
        <v>819</v>
      </c>
      <c r="F33" s="3" t="s">
        <v>820</v>
      </c>
      <c r="G33" s="4">
        <v>2267</v>
      </c>
      <c r="H33" s="1">
        <v>47</v>
      </c>
      <c r="I33" s="5">
        <v>208.72</v>
      </c>
      <c r="J33">
        <f t="shared" si="0"/>
        <v>1.27007550008193</v>
      </c>
      <c r="K33" s="1">
        <v>42900</v>
      </c>
      <c r="L33" s="1">
        <v>42900</v>
      </c>
      <c r="M33" s="1">
        <v>1</v>
      </c>
      <c r="N33" s="7" t="s">
        <v>298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G1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1.0530973451327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821</v>
      </c>
      <c r="C3" s="3" t="s">
        <v>822</v>
      </c>
      <c r="D3" s="1">
        <v>0.317</v>
      </c>
      <c r="E3" s="3" t="s">
        <v>823</v>
      </c>
      <c r="F3" s="3" t="s">
        <v>824</v>
      </c>
      <c r="G3" s="4">
        <v>11496</v>
      </c>
      <c r="H3" s="1">
        <v>316</v>
      </c>
      <c r="I3" s="5">
        <v>329.94</v>
      </c>
      <c r="J3">
        <f>E3/F3</f>
        <v>2.07150476880566</v>
      </c>
      <c r="K3" s="1">
        <v>170638</v>
      </c>
      <c r="L3" s="1">
        <v>170638</v>
      </c>
      <c r="M3" s="1">
        <v>2896</v>
      </c>
      <c r="N3" s="7" t="s">
        <v>825</v>
      </c>
    </row>
    <row r="4" ht="14.25" spans="1:14">
      <c r="A4" s="1" t="s">
        <v>24</v>
      </c>
      <c r="B4" s="3" t="s">
        <v>103</v>
      </c>
      <c r="C4" s="3" t="s">
        <v>62</v>
      </c>
      <c r="D4" s="1">
        <v>0.676</v>
      </c>
      <c r="E4" s="3" t="s">
        <v>826</v>
      </c>
      <c r="F4" s="3" t="s">
        <v>827</v>
      </c>
      <c r="G4" s="4">
        <v>3527</v>
      </c>
      <c r="H4" s="1">
        <v>52</v>
      </c>
      <c r="I4" s="5">
        <v>284.03</v>
      </c>
      <c r="J4">
        <f t="shared" ref="J4:J33" si="0">E4/F4</f>
        <v>0.979060860297938</v>
      </c>
      <c r="K4" s="1">
        <v>141460</v>
      </c>
      <c r="L4" s="1">
        <v>141460</v>
      </c>
      <c r="M4" s="1">
        <v>1456</v>
      </c>
      <c r="N4" s="7" t="s">
        <v>828</v>
      </c>
    </row>
    <row r="5" ht="14.25" spans="1:14">
      <c r="A5" s="1" t="s">
        <v>30</v>
      </c>
      <c r="B5" s="3" t="s">
        <v>56</v>
      </c>
      <c r="C5" s="3" t="s">
        <v>829</v>
      </c>
      <c r="D5" s="1">
        <v>0.026</v>
      </c>
      <c r="E5" s="3" t="s">
        <v>830</v>
      </c>
      <c r="F5" s="3" t="s">
        <v>831</v>
      </c>
      <c r="G5" s="4">
        <v>6415</v>
      </c>
      <c r="H5" s="1">
        <v>65</v>
      </c>
      <c r="I5" s="5">
        <v>258.17</v>
      </c>
      <c r="J5">
        <f t="shared" si="0"/>
        <v>1.39561143319401</v>
      </c>
      <c r="K5" s="1">
        <v>46287</v>
      </c>
      <c r="L5" s="1">
        <v>46287</v>
      </c>
      <c r="M5" s="1">
        <v>2158</v>
      </c>
      <c r="N5" s="7" t="s">
        <v>832</v>
      </c>
    </row>
    <row r="6" ht="14.25" spans="1:14">
      <c r="A6" s="1" t="s">
        <v>36</v>
      </c>
      <c r="B6" s="3" t="s">
        <v>50</v>
      </c>
      <c r="C6" s="3" t="s">
        <v>833</v>
      </c>
      <c r="D6" s="1">
        <v>0.466</v>
      </c>
      <c r="E6" s="3" t="s">
        <v>834</v>
      </c>
      <c r="F6" s="3" t="s">
        <v>835</v>
      </c>
      <c r="G6" s="4">
        <v>3325</v>
      </c>
      <c r="H6" s="1">
        <v>41</v>
      </c>
      <c r="I6" s="5">
        <v>259.95</v>
      </c>
      <c r="J6">
        <f t="shared" si="0"/>
        <v>1.45500197795937</v>
      </c>
      <c r="K6" s="1">
        <v>44408</v>
      </c>
      <c r="L6" s="1">
        <v>44408</v>
      </c>
      <c r="M6" s="1">
        <v>689</v>
      </c>
      <c r="N6" s="6">
        <v>0</v>
      </c>
    </row>
    <row r="7" ht="14.25" spans="1:14">
      <c r="A7" s="1" t="s">
        <v>42</v>
      </c>
      <c r="B7" s="3" t="s">
        <v>836</v>
      </c>
      <c r="C7" s="3" t="s">
        <v>726</v>
      </c>
      <c r="D7" s="1">
        <v>0.002</v>
      </c>
      <c r="E7" s="3" t="s">
        <v>837</v>
      </c>
      <c r="F7" s="3" t="s">
        <v>838</v>
      </c>
      <c r="G7" s="4">
        <v>2635</v>
      </c>
      <c r="H7" s="1">
        <v>28</v>
      </c>
      <c r="I7" s="5">
        <v>258.5</v>
      </c>
      <c r="J7">
        <f t="shared" si="0"/>
        <v>1.07077798659112</v>
      </c>
      <c r="K7" s="1">
        <v>63744</v>
      </c>
      <c r="L7" s="1">
        <v>63744</v>
      </c>
      <c r="M7" s="1">
        <v>612</v>
      </c>
      <c r="N7" s="7" t="s">
        <v>839</v>
      </c>
    </row>
    <row r="8" ht="14.25" spans="1:14">
      <c r="A8" s="1" t="s">
        <v>48</v>
      </c>
      <c r="B8" s="3" t="s">
        <v>536</v>
      </c>
      <c r="C8" s="3" t="s">
        <v>840</v>
      </c>
      <c r="D8" s="1">
        <v>0.158</v>
      </c>
      <c r="E8" s="3" t="s">
        <v>841</v>
      </c>
      <c r="F8" s="3" t="s">
        <v>842</v>
      </c>
      <c r="G8" s="4">
        <v>3594</v>
      </c>
      <c r="H8" s="1">
        <v>77</v>
      </c>
      <c r="I8" s="5">
        <v>267.18</v>
      </c>
      <c r="J8">
        <f t="shared" si="0"/>
        <v>1.31420334794932</v>
      </c>
      <c r="K8" s="1">
        <v>53617</v>
      </c>
      <c r="L8" s="1">
        <v>53617</v>
      </c>
      <c r="M8" s="1">
        <v>325</v>
      </c>
      <c r="N8" s="7" t="s">
        <v>843</v>
      </c>
    </row>
    <row r="9" ht="14.25" spans="1:14">
      <c r="A9" s="1" t="s">
        <v>54</v>
      </c>
      <c r="B9" s="3" t="s">
        <v>62</v>
      </c>
      <c r="C9" s="3" t="s">
        <v>715</v>
      </c>
      <c r="D9" s="1">
        <v>0.045</v>
      </c>
      <c r="E9" s="3" t="s">
        <v>844</v>
      </c>
      <c r="F9" s="3" t="s">
        <v>845</v>
      </c>
      <c r="G9" s="4">
        <v>2613</v>
      </c>
      <c r="H9" s="1">
        <v>46</v>
      </c>
      <c r="I9" s="5">
        <v>254.76</v>
      </c>
      <c r="J9">
        <f t="shared" si="0"/>
        <v>1.20468963939604</v>
      </c>
      <c r="K9" s="1">
        <v>53600</v>
      </c>
      <c r="L9" s="1">
        <v>53600</v>
      </c>
      <c r="M9" s="1">
        <v>236</v>
      </c>
      <c r="N9" s="7" t="s">
        <v>846</v>
      </c>
    </row>
    <row r="10" ht="14.25" spans="1:14">
      <c r="A10" s="1" t="s">
        <v>60</v>
      </c>
      <c r="B10" s="3" t="s">
        <v>50</v>
      </c>
      <c r="C10" s="3" t="s">
        <v>847</v>
      </c>
      <c r="D10" s="1">
        <v>0.003</v>
      </c>
      <c r="E10" s="3" t="s">
        <v>848</v>
      </c>
      <c r="F10" s="3" t="s">
        <v>849</v>
      </c>
      <c r="G10" s="4">
        <v>2274</v>
      </c>
      <c r="H10" s="1">
        <v>38</v>
      </c>
      <c r="I10" s="5">
        <v>256.78</v>
      </c>
      <c r="J10">
        <f t="shared" si="0"/>
        <v>1.22243284479171</v>
      </c>
      <c r="K10" s="1">
        <v>41813</v>
      </c>
      <c r="L10" s="1">
        <v>41813</v>
      </c>
      <c r="M10" s="1">
        <v>198</v>
      </c>
      <c r="N10" s="7" t="s">
        <v>850</v>
      </c>
    </row>
    <row r="11" ht="14.25" spans="1:14">
      <c r="A11" s="1" t="s">
        <v>66</v>
      </c>
      <c r="B11" s="3" t="s">
        <v>851</v>
      </c>
      <c r="C11" s="3" t="s">
        <v>852</v>
      </c>
      <c r="D11" s="1">
        <v>2.53</v>
      </c>
      <c r="E11" s="3" t="s">
        <v>853</v>
      </c>
      <c r="F11" s="3" t="s">
        <v>854</v>
      </c>
      <c r="G11" s="4">
        <v>7673</v>
      </c>
      <c r="H11" s="1">
        <v>330</v>
      </c>
      <c r="I11" s="5">
        <v>336.65</v>
      </c>
      <c r="J11">
        <f t="shared" si="0"/>
        <v>1.67398593760443</v>
      </c>
      <c r="K11" s="1">
        <v>138332</v>
      </c>
      <c r="L11" s="1">
        <v>138332</v>
      </c>
      <c r="M11" s="1">
        <v>156</v>
      </c>
      <c r="N11" s="7" t="s">
        <v>855</v>
      </c>
    </row>
    <row r="12" ht="14.25" spans="1:14">
      <c r="A12" s="1" t="s">
        <v>72</v>
      </c>
      <c r="B12" s="3" t="s">
        <v>147</v>
      </c>
      <c r="C12" s="3" t="s">
        <v>715</v>
      </c>
      <c r="D12" s="1">
        <v>1.066</v>
      </c>
      <c r="E12" s="3" t="s">
        <v>856</v>
      </c>
      <c r="F12" s="3" t="s">
        <v>857</v>
      </c>
      <c r="G12" s="4">
        <v>13808</v>
      </c>
      <c r="H12" s="1">
        <v>378</v>
      </c>
      <c r="I12" s="5">
        <v>297.69</v>
      </c>
      <c r="J12">
        <f t="shared" si="0"/>
        <v>1.29583325561446</v>
      </c>
      <c r="K12" s="1">
        <v>106988</v>
      </c>
      <c r="L12" s="1">
        <v>106988</v>
      </c>
      <c r="M12" s="1">
        <v>178</v>
      </c>
      <c r="N12" s="7" t="s">
        <v>858</v>
      </c>
    </row>
    <row r="13" ht="14.25" spans="1:14">
      <c r="A13" s="1" t="s">
        <v>78</v>
      </c>
      <c r="B13" s="3" t="s">
        <v>466</v>
      </c>
      <c r="C13" s="3" t="s">
        <v>859</v>
      </c>
      <c r="D13" s="1">
        <v>0.219</v>
      </c>
      <c r="E13" s="3" t="s">
        <v>860</v>
      </c>
      <c r="F13" s="3" t="s">
        <v>861</v>
      </c>
      <c r="G13" s="4">
        <v>13318</v>
      </c>
      <c r="H13" s="1">
        <v>355</v>
      </c>
      <c r="I13" s="5">
        <v>318.05</v>
      </c>
      <c r="J13">
        <f t="shared" si="0"/>
        <v>1.18936722917149</v>
      </c>
      <c r="K13" s="1">
        <v>97078</v>
      </c>
      <c r="L13" s="1">
        <v>97078</v>
      </c>
      <c r="M13" s="1">
        <v>186</v>
      </c>
      <c r="N13" s="7" t="s">
        <v>862</v>
      </c>
    </row>
    <row r="14" ht="14.25" spans="1:14">
      <c r="A14" s="1" t="s">
        <v>84</v>
      </c>
      <c r="B14" s="3" t="s">
        <v>345</v>
      </c>
      <c r="C14" s="3" t="s">
        <v>68</v>
      </c>
      <c r="D14" s="1">
        <v>0.16</v>
      </c>
      <c r="E14" s="3" t="s">
        <v>863</v>
      </c>
      <c r="F14" s="3" t="s">
        <v>864</v>
      </c>
      <c r="G14" s="4">
        <v>6065</v>
      </c>
      <c r="H14" s="1">
        <v>112</v>
      </c>
      <c r="I14" s="5">
        <v>271.6</v>
      </c>
      <c r="J14">
        <f t="shared" si="0"/>
        <v>1.31240828166771</v>
      </c>
      <c r="K14" s="1">
        <v>44890</v>
      </c>
      <c r="L14" s="1">
        <v>44890</v>
      </c>
      <c r="M14" s="1">
        <v>123</v>
      </c>
      <c r="N14" s="7" t="s">
        <v>865</v>
      </c>
    </row>
    <row r="15" ht="14.25" spans="1:14">
      <c r="A15" s="1" t="s">
        <v>89</v>
      </c>
      <c r="B15" s="3" t="s">
        <v>253</v>
      </c>
      <c r="C15" s="3" t="s">
        <v>866</v>
      </c>
      <c r="D15" s="1">
        <v>0.475</v>
      </c>
      <c r="E15" s="3" t="s">
        <v>867</v>
      </c>
      <c r="F15" s="3" t="s">
        <v>868</v>
      </c>
      <c r="G15" s="4">
        <v>5691</v>
      </c>
      <c r="H15" s="1">
        <v>120</v>
      </c>
      <c r="I15" s="5">
        <v>299.28</v>
      </c>
      <c r="J15">
        <f t="shared" si="0"/>
        <v>1.05219968267061</v>
      </c>
      <c r="K15" s="1">
        <v>86241</v>
      </c>
      <c r="L15" s="1">
        <v>86241</v>
      </c>
      <c r="M15" s="1">
        <v>98</v>
      </c>
      <c r="N15" s="7" t="s">
        <v>568</v>
      </c>
    </row>
    <row r="16" ht="14.25" spans="1:14">
      <c r="A16" s="1" t="s">
        <v>95</v>
      </c>
      <c r="B16" s="3" t="s">
        <v>103</v>
      </c>
      <c r="C16" s="3" t="s">
        <v>869</v>
      </c>
      <c r="D16" s="1">
        <v>0.169</v>
      </c>
      <c r="E16" s="3" t="s">
        <v>870</v>
      </c>
      <c r="F16" s="3" t="s">
        <v>871</v>
      </c>
      <c r="G16" s="4">
        <v>4462</v>
      </c>
      <c r="H16" s="1">
        <v>51</v>
      </c>
      <c r="I16" s="5">
        <v>267.17</v>
      </c>
      <c r="J16">
        <f t="shared" si="0"/>
        <v>1.2561852326605</v>
      </c>
      <c r="K16" s="1">
        <v>43233</v>
      </c>
      <c r="L16" s="1">
        <v>43233</v>
      </c>
      <c r="M16" s="1">
        <v>128</v>
      </c>
      <c r="N16" s="7" t="s">
        <v>872</v>
      </c>
    </row>
    <row r="17" ht="14.25" spans="1:14">
      <c r="A17" s="1" t="s">
        <v>101</v>
      </c>
      <c r="B17" s="3" t="s">
        <v>62</v>
      </c>
      <c r="C17" s="3" t="s">
        <v>873</v>
      </c>
      <c r="D17" s="1">
        <v>0.233</v>
      </c>
      <c r="E17" s="3" t="s">
        <v>874</v>
      </c>
      <c r="F17" s="3" t="s">
        <v>875</v>
      </c>
      <c r="G17" s="4">
        <v>9779</v>
      </c>
      <c r="H17" s="1">
        <v>208</v>
      </c>
      <c r="I17" s="5">
        <v>272.06</v>
      </c>
      <c r="J17">
        <f t="shared" si="0"/>
        <v>1.28423439376131</v>
      </c>
      <c r="K17" s="1">
        <v>72463</v>
      </c>
      <c r="L17" s="1">
        <v>72463</v>
      </c>
      <c r="M17" s="1">
        <v>85</v>
      </c>
      <c r="N17" s="7" t="s">
        <v>876</v>
      </c>
    </row>
    <row r="18" ht="14.25" spans="1:14">
      <c r="A18" s="1" t="s">
        <v>107</v>
      </c>
      <c r="B18" s="3" t="s">
        <v>26</v>
      </c>
      <c r="C18" s="3" t="s">
        <v>877</v>
      </c>
      <c r="D18" s="1">
        <v>0.647</v>
      </c>
      <c r="E18" s="3" t="s">
        <v>878</v>
      </c>
      <c r="F18" s="3" t="s">
        <v>879</v>
      </c>
      <c r="G18" s="4">
        <v>6771</v>
      </c>
      <c r="H18" s="1">
        <v>81</v>
      </c>
      <c r="I18" s="5">
        <v>266.92</v>
      </c>
      <c r="J18">
        <f t="shared" si="0"/>
        <v>1.41109554655109</v>
      </c>
      <c r="K18" s="1">
        <v>46391</v>
      </c>
      <c r="L18" s="1">
        <v>46391</v>
      </c>
      <c r="M18" s="1">
        <v>53</v>
      </c>
      <c r="N18" s="7" t="s">
        <v>880</v>
      </c>
    </row>
    <row r="19" ht="14.25" spans="1:14">
      <c r="A19" s="1" t="s">
        <v>113</v>
      </c>
      <c r="B19" s="3" t="s">
        <v>881</v>
      </c>
      <c r="C19" s="3" t="s">
        <v>148</v>
      </c>
      <c r="D19" s="1">
        <v>0.175</v>
      </c>
      <c r="E19" s="3" t="s">
        <v>882</v>
      </c>
      <c r="F19" s="3" t="s">
        <v>883</v>
      </c>
      <c r="G19" s="4">
        <v>6291</v>
      </c>
      <c r="H19" s="1">
        <v>110</v>
      </c>
      <c r="I19" s="5">
        <v>285.28</v>
      </c>
      <c r="J19">
        <f t="shared" si="0"/>
        <v>1.32299624650408</v>
      </c>
      <c r="K19" s="1">
        <v>60616</v>
      </c>
      <c r="L19" s="1">
        <v>60616</v>
      </c>
      <c r="M19" s="1">
        <v>76</v>
      </c>
      <c r="N19" s="7" t="s">
        <v>884</v>
      </c>
    </row>
    <row r="20" ht="14.25" spans="1:14">
      <c r="A20" s="1" t="s">
        <v>119</v>
      </c>
      <c r="B20" s="3" t="s">
        <v>26</v>
      </c>
      <c r="C20" s="3" t="s">
        <v>885</v>
      </c>
      <c r="D20" s="1">
        <v>0.287</v>
      </c>
      <c r="E20" s="3" t="s">
        <v>886</v>
      </c>
      <c r="F20" s="3" t="s">
        <v>887</v>
      </c>
      <c r="G20" s="4">
        <v>5923</v>
      </c>
      <c r="H20" s="1">
        <v>101</v>
      </c>
      <c r="I20" s="5">
        <v>261.12</v>
      </c>
      <c r="J20">
        <f t="shared" si="0"/>
        <v>1.46716797488226</v>
      </c>
      <c r="K20" s="1">
        <v>50110</v>
      </c>
      <c r="L20" s="1">
        <v>50110</v>
      </c>
      <c r="M20" s="1">
        <v>56</v>
      </c>
      <c r="N20" s="7" t="s">
        <v>888</v>
      </c>
    </row>
    <row r="21" ht="14.25" spans="1:14">
      <c r="A21" s="1" t="s">
        <v>125</v>
      </c>
      <c r="B21" s="3" t="s">
        <v>147</v>
      </c>
      <c r="C21" s="3" t="s">
        <v>766</v>
      </c>
      <c r="D21" s="1">
        <v>0.619</v>
      </c>
      <c r="E21" s="3" t="s">
        <v>889</v>
      </c>
      <c r="F21" s="3" t="s">
        <v>890</v>
      </c>
      <c r="G21" s="4">
        <v>22091</v>
      </c>
      <c r="H21" s="1">
        <v>541</v>
      </c>
      <c r="I21" s="5">
        <v>296.17</v>
      </c>
      <c r="J21">
        <f t="shared" si="0"/>
        <v>1.54354312537416</v>
      </c>
      <c r="K21" s="1">
        <v>83678</v>
      </c>
      <c r="L21" s="1">
        <v>83678</v>
      </c>
      <c r="M21" s="1">
        <v>32</v>
      </c>
      <c r="N21" s="7" t="s">
        <v>891</v>
      </c>
    </row>
    <row r="22" ht="14.25" spans="1:14">
      <c r="A22" s="1" t="s">
        <v>130</v>
      </c>
      <c r="B22" s="3" t="s">
        <v>345</v>
      </c>
      <c r="C22" s="3" t="s">
        <v>618</v>
      </c>
      <c r="D22" s="1">
        <v>0.472</v>
      </c>
      <c r="E22" s="3" t="s">
        <v>892</v>
      </c>
      <c r="F22" s="3" t="s">
        <v>893</v>
      </c>
      <c r="G22" s="4">
        <v>4257</v>
      </c>
      <c r="H22" s="1">
        <v>39</v>
      </c>
      <c r="I22" s="5">
        <v>261.94</v>
      </c>
      <c r="J22">
        <f t="shared" si="0"/>
        <v>1.20121724918562</v>
      </c>
      <c r="K22" s="1">
        <v>37300</v>
      </c>
      <c r="L22" s="1">
        <v>37300</v>
      </c>
      <c r="M22" s="1">
        <v>26</v>
      </c>
      <c r="N22" s="7" t="s">
        <v>386</v>
      </c>
    </row>
    <row r="23" ht="14.25" spans="1:14">
      <c r="A23" s="1" t="s">
        <v>135</v>
      </c>
      <c r="B23" s="3" t="s">
        <v>222</v>
      </c>
      <c r="C23" s="3" t="s">
        <v>894</v>
      </c>
      <c r="D23" s="1">
        <v>0.075</v>
      </c>
      <c r="E23" s="3" t="s">
        <v>895</v>
      </c>
      <c r="F23" s="3" t="s">
        <v>896</v>
      </c>
      <c r="G23" s="4">
        <v>1682</v>
      </c>
      <c r="H23" s="1">
        <v>32</v>
      </c>
      <c r="I23" s="5">
        <v>275.64</v>
      </c>
      <c r="J23">
        <f t="shared" si="0"/>
        <v>1.19352851960039</v>
      </c>
      <c r="K23" s="1">
        <v>48600</v>
      </c>
      <c r="L23" s="1">
        <v>48600</v>
      </c>
      <c r="M23" s="1">
        <v>22</v>
      </c>
      <c r="N23" s="7" t="s">
        <v>897</v>
      </c>
    </row>
    <row r="24" ht="14.25" spans="1:14">
      <c r="A24" s="1" t="s">
        <v>141</v>
      </c>
      <c r="B24" s="3" t="s">
        <v>218</v>
      </c>
      <c r="C24" s="3" t="s">
        <v>836</v>
      </c>
      <c r="D24" s="1">
        <v>0.671</v>
      </c>
      <c r="E24" s="3" t="s">
        <v>898</v>
      </c>
      <c r="F24" s="3" t="s">
        <v>899</v>
      </c>
      <c r="G24" s="4">
        <v>5319</v>
      </c>
      <c r="H24" s="1">
        <v>55</v>
      </c>
      <c r="I24" s="5">
        <v>276.31</v>
      </c>
      <c r="J24">
        <f t="shared" si="0"/>
        <v>1.34442987193334</v>
      </c>
      <c r="K24" s="1">
        <v>65300</v>
      </c>
      <c r="L24" s="1">
        <v>65300</v>
      </c>
      <c r="M24" s="1">
        <v>18</v>
      </c>
      <c r="N24" s="7" t="s">
        <v>900</v>
      </c>
    </row>
    <row r="25" ht="14.25" spans="1:14">
      <c r="A25" s="1" t="s">
        <v>146</v>
      </c>
      <c r="B25" s="3" t="s">
        <v>227</v>
      </c>
      <c r="C25" s="3" t="s">
        <v>783</v>
      </c>
      <c r="D25" s="1">
        <v>0.223</v>
      </c>
      <c r="E25" s="3" t="s">
        <v>901</v>
      </c>
      <c r="F25" s="3" t="s">
        <v>902</v>
      </c>
      <c r="G25" s="4">
        <v>7125</v>
      </c>
      <c r="H25" s="1">
        <v>121</v>
      </c>
      <c r="I25" s="5">
        <v>267.8</v>
      </c>
      <c r="J25">
        <f t="shared" si="0"/>
        <v>1.48704371166502</v>
      </c>
      <c r="K25" s="1">
        <v>44390</v>
      </c>
      <c r="L25" s="1">
        <v>44390</v>
      </c>
      <c r="M25" s="1">
        <v>12</v>
      </c>
      <c r="N25" s="7" t="s">
        <v>903</v>
      </c>
    </row>
    <row r="26" ht="14.25" spans="1:14">
      <c r="A26" s="1" t="s">
        <v>152</v>
      </c>
      <c r="B26" s="3" t="s">
        <v>62</v>
      </c>
      <c r="C26" s="3" t="s">
        <v>85</v>
      </c>
      <c r="D26" s="1">
        <v>0.317</v>
      </c>
      <c r="E26" s="3" t="s">
        <v>904</v>
      </c>
      <c r="F26" s="3" t="s">
        <v>905</v>
      </c>
      <c r="G26" s="4">
        <v>3919</v>
      </c>
      <c r="H26" s="1">
        <v>25</v>
      </c>
      <c r="I26" s="5">
        <v>251.46</v>
      </c>
      <c r="J26">
        <f t="shared" si="0"/>
        <v>1.24940389624575</v>
      </c>
      <c r="K26" s="1">
        <v>36900</v>
      </c>
      <c r="L26" s="1">
        <v>36900</v>
      </c>
      <c r="M26" s="1">
        <v>14</v>
      </c>
      <c r="N26" s="7" t="s">
        <v>906</v>
      </c>
    </row>
    <row r="27" ht="14.25" spans="1:14">
      <c r="A27" s="1" t="s">
        <v>158</v>
      </c>
      <c r="B27" s="3" t="s">
        <v>62</v>
      </c>
      <c r="C27" s="3" t="s">
        <v>907</v>
      </c>
      <c r="D27" s="1">
        <v>0.271</v>
      </c>
      <c r="E27" s="3" t="s">
        <v>908</v>
      </c>
      <c r="F27" s="3" t="s">
        <v>909</v>
      </c>
      <c r="G27" s="4">
        <v>3784</v>
      </c>
      <c r="H27" s="1">
        <v>35</v>
      </c>
      <c r="I27" s="5">
        <v>256.27</v>
      </c>
      <c r="J27">
        <f t="shared" si="0"/>
        <v>1.16641773901502</v>
      </c>
      <c r="K27" s="1">
        <v>34200</v>
      </c>
      <c r="L27" s="1">
        <v>34200</v>
      </c>
      <c r="M27" s="1">
        <v>13</v>
      </c>
      <c r="N27" s="7" t="s">
        <v>910</v>
      </c>
    </row>
    <row r="28" ht="14.25" spans="1:14">
      <c r="A28" s="1" t="s">
        <v>164</v>
      </c>
      <c r="B28" s="3" t="s">
        <v>911</v>
      </c>
      <c r="C28" s="3" t="s">
        <v>137</v>
      </c>
      <c r="D28" s="1">
        <v>0.001</v>
      </c>
      <c r="E28" s="3" t="s">
        <v>912</v>
      </c>
      <c r="F28" s="3" t="s">
        <v>913</v>
      </c>
      <c r="G28" s="4">
        <v>486</v>
      </c>
      <c r="H28" s="1">
        <v>13</v>
      </c>
      <c r="I28" s="5">
        <v>245.57</v>
      </c>
      <c r="J28">
        <f t="shared" si="0"/>
        <v>1.22638513814286</v>
      </c>
      <c r="K28" s="1">
        <v>41156</v>
      </c>
      <c r="L28" s="1">
        <v>41156</v>
      </c>
      <c r="M28" s="1">
        <v>8</v>
      </c>
      <c r="N28" s="7" t="s">
        <v>914</v>
      </c>
    </row>
    <row r="29" ht="14.25" spans="1:14">
      <c r="A29" s="1" t="s">
        <v>170</v>
      </c>
      <c r="B29" s="3" t="s">
        <v>56</v>
      </c>
      <c r="C29" s="3" t="s">
        <v>915</v>
      </c>
      <c r="D29" s="1">
        <v>0.068</v>
      </c>
      <c r="E29" s="3" t="s">
        <v>916</v>
      </c>
      <c r="F29" s="3" t="s">
        <v>917</v>
      </c>
      <c r="G29" s="4">
        <v>4726</v>
      </c>
      <c r="H29" s="1">
        <v>50</v>
      </c>
      <c r="I29" s="5">
        <v>266.85</v>
      </c>
      <c r="J29">
        <f t="shared" si="0"/>
        <v>1.41704760871891</v>
      </c>
      <c r="K29" s="1">
        <v>56800</v>
      </c>
      <c r="L29" s="1">
        <v>56800</v>
      </c>
      <c r="M29" s="1">
        <v>9</v>
      </c>
      <c r="N29" s="7" t="s">
        <v>579</v>
      </c>
    </row>
    <row r="30" ht="14.25" spans="1:14">
      <c r="A30" s="1" t="s">
        <v>175</v>
      </c>
      <c r="B30" s="3" t="s">
        <v>482</v>
      </c>
      <c r="C30" s="3" t="s">
        <v>918</v>
      </c>
      <c r="D30" s="1">
        <v>0.022</v>
      </c>
      <c r="E30" s="3" t="s">
        <v>919</v>
      </c>
      <c r="F30" s="3" t="s">
        <v>920</v>
      </c>
      <c r="G30" s="4">
        <v>2209</v>
      </c>
      <c r="H30" s="1">
        <v>27</v>
      </c>
      <c r="I30" s="5">
        <v>243.78</v>
      </c>
      <c r="J30">
        <f t="shared" si="0"/>
        <v>1.00395205576928</v>
      </c>
      <c r="K30" s="1">
        <v>28400</v>
      </c>
      <c r="L30" s="1">
        <v>28400</v>
      </c>
      <c r="M30" s="1">
        <v>9</v>
      </c>
      <c r="N30" s="7" t="s">
        <v>921</v>
      </c>
    </row>
    <row r="31" ht="14.25" spans="1:14">
      <c r="A31" s="1" t="s">
        <v>180</v>
      </c>
      <c r="B31" s="3" t="s">
        <v>50</v>
      </c>
      <c r="C31" s="3" t="s">
        <v>62</v>
      </c>
      <c r="D31" s="1">
        <v>0.001</v>
      </c>
      <c r="E31" s="3" t="s">
        <v>922</v>
      </c>
      <c r="F31" s="3" t="s">
        <v>923</v>
      </c>
      <c r="G31" s="4">
        <v>724</v>
      </c>
      <c r="H31" s="1">
        <v>11</v>
      </c>
      <c r="I31" s="5">
        <v>240.2</v>
      </c>
      <c r="J31">
        <f t="shared" si="0"/>
        <v>0.919748782081048</v>
      </c>
      <c r="K31" s="1">
        <v>45300</v>
      </c>
      <c r="L31" s="1">
        <v>45300</v>
      </c>
      <c r="M31" s="1">
        <v>4</v>
      </c>
      <c r="N31" s="7" t="s">
        <v>924</v>
      </c>
    </row>
    <row r="32" ht="14.25" spans="1:14">
      <c r="A32" s="1" t="s">
        <v>186</v>
      </c>
      <c r="B32" s="3" t="s">
        <v>103</v>
      </c>
      <c r="C32" s="3" t="s">
        <v>918</v>
      </c>
      <c r="D32" s="1">
        <v>0.041</v>
      </c>
      <c r="E32" s="3" t="s">
        <v>925</v>
      </c>
      <c r="F32" s="3" t="s">
        <v>926</v>
      </c>
      <c r="G32" s="4">
        <v>1103</v>
      </c>
      <c r="H32" s="1">
        <v>14</v>
      </c>
      <c r="I32" s="5">
        <v>255.59</v>
      </c>
      <c r="J32">
        <f t="shared" si="0"/>
        <v>0.908030358369909</v>
      </c>
      <c r="K32" s="1">
        <v>52200</v>
      </c>
      <c r="L32" s="1">
        <v>52200</v>
      </c>
      <c r="M32" s="1">
        <v>3</v>
      </c>
      <c r="N32" s="7" t="s">
        <v>927</v>
      </c>
    </row>
    <row r="33" ht="14.25" spans="1:14">
      <c r="A33" s="1" t="s">
        <v>191</v>
      </c>
      <c r="B33" s="3" t="s">
        <v>817</v>
      </c>
      <c r="C33" s="3" t="s">
        <v>766</v>
      </c>
      <c r="D33" s="1">
        <v>0.002</v>
      </c>
      <c r="E33" s="3" t="s">
        <v>928</v>
      </c>
      <c r="F33" s="3" t="s">
        <v>929</v>
      </c>
      <c r="G33" s="4">
        <v>2541</v>
      </c>
      <c r="H33" s="1">
        <v>49</v>
      </c>
      <c r="I33" s="5">
        <v>248.69</v>
      </c>
      <c r="J33">
        <f t="shared" si="0"/>
        <v>1.24462739650157</v>
      </c>
      <c r="K33" s="1">
        <v>47600</v>
      </c>
      <c r="L33" s="1">
        <v>47600</v>
      </c>
      <c r="M33" s="1">
        <v>2</v>
      </c>
      <c r="N33" s="7" t="s">
        <v>424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H1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0.1150442477876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930</v>
      </c>
      <c r="C3" s="3" t="s">
        <v>704</v>
      </c>
      <c r="D3" s="1">
        <v>0.555</v>
      </c>
      <c r="E3" s="3" t="s">
        <v>931</v>
      </c>
      <c r="F3" s="3" t="s">
        <v>932</v>
      </c>
      <c r="G3" s="4">
        <v>17784</v>
      </c>
      <c r="H3" s="1">
        <v>323</v>
      </c>
      <c r="I3" s="5">
        <v>368.54</v>
      </c>
      <c r="J3">
        <f>E3/F3</f>
        <v>2.2287734610981</v>
      </c>
      <c r="K3" s="1">
        <v>184328</v>
      </c>
      <c r="L3" s="1">
        <v>184328</v>
      </c>
      <c r="M3" s="1">
        <v>3985</v>
      </c>
      <c r="N3" s="7" t="s">
        <v>933</v>
      </c>
    </row>
    <row r="4" ht="14.25" spans="1:14">
      <c r="A4" s="1" t="s">
        <v>24</v>
      </c>
      <c r="B4" s="3" t="s">
        <v>109</v>
      </c>
      <c r="C4" s="3" t="s">
        <v>62</v>
      </c>
      <c r="D4" s="1">
        <v>0.844</v>
      </c>
      <c r="E4" s="3" t="s">
        <v>934</v>
      </c>
      <c r="F4" s="3" t="s">
        <v>935</v>
      </c>
      <c r="G4" s="4">
        <v>4136</v>
      </c>
      <c r="H4" s="1">
        <v>53</v>
      </c>
      <c r="I4" s="5">
        <v>316.88</v>
      </c>
      <c r="J4">
        <f t="shared" ref="J4:J33" si="0">E4/F4</f>
        <v>0.90899987971213</v>
      </c>
      <c r="K4" s="1">
        <v>142712</v>
      </c>
      <c r="L4" s="1">
        <v>142712</v>
      </c>
      <c r="M4" s="1">
        <v>1986</v>
      </c>
      <c r="N4" s="7" t="s">
        <v>936</v>
      </c>
    </row>
    <row r="5" ht="14.25" spans="1:14">
      <c r="A5" s="1" t="s">
        <v>30</v>
      </c>
      <c r="B5" s="3" t="s">
        <v>97</v>
      </c>
      <c r="C5" s="3" t="s">
        <v>937</v>
      </c>
      <c r="D5" s="1">
        <v>0.011</v>
      </c>
      <c r="E5" s="3" t="s">
        <v>938</v>
      </c>
      <c r="F5" s="3" t="s">
        <v>939</v>
      </c>
      <c r="G5" s="4">
        <v>7109</v>
      </c>
      <c r="H5" s="1">
        <v>67</v>
      </c>
      <c r="I5" s="5">
        <v>282.77</v>
      </c>
      <c r="J5">
        <f t="shared" si="0"/>
        <v>1.37680114225621</v>
      </c>
      <c r="K5" s="1">
        <v>49066</v>
      </c>
      <c r="L5" s="1">
        <v>49066</v>
      </c>
      <c r="M5" s="1">
        <v>2895</v>
      </c>
      <c r="N5" s="7" t="s">
        <v>940</v>
      </c>
    </row>
    <row r="6" ht="14.25" spans="1:14">
      <c r="A6" s="1" t="s">
        <v>36</v>
      </c>
      <c r="B6" s="3" t="s">
        <v>103</v>
      </c>
      <c r="C6" s="3" t="s">
        <v>941</v>
      </c>
      <c r="D6" s="1">
        <v>0.445</v>
      </c>
      <c r="E6" s="3" t="s">
        <v>942</v>
      </c>
      <c r="F6" s="3" t="s">
        <v>943</v>
      </c>
      <c r="G6" s="4">
        <v>3742</v>
      </c>
      <c r="H6" s="1">
        <v>42</v>
      </c>
      <c r="I6" s="5">
        <v>283.65</v>
      </c>
      <c r="J6">
        <f t="shared" si="0"/>
        <v>1.39924724119759</v>
      </c>
      <c r="K6" s="1">
        <v>48052</v>
      </c>
      <c r="L6" s="1">
        <v>48052</v>
      </c>
      <c r="M6" s="1">
        <v>956</v>
      </c>
      <c r="N6" s="7" t="s">
        <v>367</v>
      </c>
    </row>
    <row r="7" ht="14.25" spans="1:14">
      <c r="A7" s="1" t="s">
        <v>42</v>
      </c>
      <c r="B7" s="3" t="s">
        <v>417</v>
      </c>
      <c r="C7" s="3" t="s">
        <v>944</v>
      </c>
      <c r="D7" s="1">
        <v>0.002</v>
      </c>
      <c r="E7" s="3" t="s">
        <v>945</v>
      </c>
      <c r="F7" s="3" t="s">
        <v>946</v>
      </c>
      <c r="G7" s="4">
        <v>2814</v>
      </c>
      <c r="H7" s="1">
        <v>28</v>
      </c>
      <c r="I7" s="5">
        <v>271.57</v>
      </c>
      <c r="J7">
        <f t="shared" si="0"/>
        <v>1.05164596974283</v>
      </c>
      <c r="K7" s="1">
        <v>68206</v>
      </c>
      <c r="L7" s="1">
        <v>68206</v>
      </c>
      <c r="M7" s="1">
        <v>865</v>
      </c>
      <c r="N7" s="7" t="s">
        <v>947</v>
      </c>
    </row>
    <row r="8" ht="14.25" spans="1:14">
      <c r="A8" s="1" t="s">
        <v>48</v>
      </c>
      <c r="B8" s="3" t="s">
        <v>948</v>
      </c>
      <c r="C8" s="3" t="s">
        <v>699</v>
      </c>
      <c r="D8" s="1">
        <v>0.126</v>
      </c>
      <c r="E8" s="3" t="s">
        <v>949</v>
      </c>
      <c r="F8" s="3" t="s">
        <v>950</v>
      </c>
      <c r="G8" s="4">
        <v>3126</v>
      </c>
      <c r="H8" s="1">
        <v>79</v>
      </c>
      <c r="I8" s="5">
        <v>290.95</v>
      </c>
      <c r="J8">
        <f t="shared" si="0"/>
        <v>1.31190396798933</v>
      </c>
      <c r="K8" s="1">
        <v>58036</v>
      </c>
      <c r="L8" s="1">
        <v>58036</v>
      </c>
      <c r="M8" s="1">
        <v>456</v>
      </c>
      <c r="N8" s="7" t="s">
        <v>951</v>
      </c>
    </row>
    <row r="9" ht="14.25" spans="1:14">
      <c r="A9" s="1" t="s">
        <v>54</v>
      </c>
      <c r="B9" s="3" t="s">
        <v>109</v>
      </c>
      <c r="C9" s="3" t="s">
        <v>952</v>
      </c>
      <c r="D9" s="1">
        <v>0.065</v>
      </c>
      <c r="E9" s="3" t="s">
        <v>953</v>
      </c>
      <c r="F9" s="3" t="s">
        <v>954</v>
      </c>
      <c r="G9" s="4">
        <v>2947</v>
      </c>
      <c r="H9" s="1">
        <v>47</v>
      </c>
      <c r="I9" s="5">
        <v>276.08</v>
      </c>
      <c r="J9">
        <f t="shared" si="0"/>
        <v>1.16126739429167</v>
      </c>
      <c r="K9" s="1">
        <v>53965</v>
      </c>
      <c r="L9" s="1">
        <v>53965</v>
      </c>
      <c r="M9" s="1">
        <v>345</v>
      </c>
      <c r="N9" s="7" t="s">
        <v>955</v>
      </c>
    </row>
    <row r="10" ht="14.25" spans="1:14">
      <c r="A10" s="1" t="s">
        <v>60</v>
      </c>
      <c r="B10" s="3" t="s">
        <v>103</v>
      </c>
      <c r="C10" s="3" t="s">
        <v>833</v>
      </c>
      <c r="D10" s="1">
        <v>0.002</v>
      </c>
      <c r="E10" s="3" t="s">
        <v>956</v>
      </c>
      <c r="F10" s="3" t="s">
        <v>957</v>
      </c>
      <c r="G10" s="4">
        <v>2519</v>
      </c>
      <c r="H10" s="1">
        <v>39</v>
      </c>
      <c r="I10" s="5">
        <v>274.73</v>
      </c>
      <c r="J10">
        <f t="shared" si="0"/>
        <v>1.25389156745056</v>
      </c>
      <c r="K10" s="1">
        <v>43274</v>
      </c>
      <c r="L10" s="1">
        <v>43274</v>
      </c>
      <c r="M10" s="1">
        <v>289</v>
      </c>
      <c r="N10" s="7" t="s">
        <v>958</v>
      </c>
    </row>
    <row r="11" ht="14.25" spans="1:14">
      <c r="A11" s="1" t="s">
        <v>66</v>
      </c>
      <c r="B11" s="3" t="s">
        <v>851</v>
      </c>
      <c r="C11" s="3" t="s">
        <v>805</v>
      </c>
      <c r="D11" s="1">
        <v>2.568</v>
      </c>
      <c r="E11" s="3" t="s">
        <v>959</v>
      </c>
      <c r="F11" s="3" t="s">
        <v>960</v>
      </c>
      <c r="G11" s="4">
        <v>9274</v>
      </c>
      <c r="H11" s="1">
        <v>341</v>
      </c>
      <c r="I11" s="5">
        <v>377.73</v>
      </c>
      <c r="J11">
        <f t="shared" si="0"/>
        <v>1.65290631459207</v>
      </c>
      <c r="K11" s="1">
        <v>147707</v>
      </c>
      <c r="L11" s="1">
        <v>147707</v>
      </c>
      <c r="M11" s="1">
        <v>235</v>
      </c>
      <c r="N11" s="7" t="s">
        <v>961</v>
      </c>
    </row>
    <row r="12" ht="14.25" spans="1:14">
      <c r="A12" s="1" t="s">
        <v>72</v>
      </c>
      <c r="B12" s="3" t="s">
        <v>147</v>
      </c>
      <c r="C12" s="3" t="s">
        <v>715</v>
      </c>
      <c r="D12" s="1">
        <v>1.03</v>
      </c>
      <c r="E12" s="3" t="s">
        <v>962</v>
      </c>
      <c r="F12" s="3" t="s">
        <v>963</v>
      </c>
      <c r="G12" s="4">
        <v>17699</v>
      </c>
      <c r="H12" s="1">
        <v>401</v>
      </c>
      <c r="I12" s="5">
        <v>334.02</v>
      </c>
      <c r="J12">
        <f t="shared" si="0"/>
        <v>1.22425898432957</v>
      </c>
      <c r="K12" s="1">
        <v>115168</v>
      </c>
      <c r="L12" s="1">
        <v>115168</v>
      </c>
      <c r="M12" s="1">
        <v>256</v>
      </c>
      <c r="N12" s="7" t="s">
        <v>964</v>
      </c>
    </row>
    <row r="13" ht="14.25" spans="1:14">
      <c r="A13" s="1" t="s">
        <v>78</v>
      </c>
      <c r="B13" s="3" t="s">
        <v>218</v>
      </c>
      <c r="C13" s="3" t="s">
        <v>965</v>
      </c>
      <c r="D13" s="1">
        <v>0.213</v>
      </c>
      <c r="E13" s="3" t="s">
        <v>966</v>
      </c>
      <c r="F13" s="3" t="s">
        <v>967</v>
      </c>
      <c r="G13" s="4">
        <v>19499</v>
      </c>
      <c r="H13" s="1">
        <v>387</v>
      </c>
      <c r="I13" s="5">
        <v>357.45</v>
      </c>
      <c r="J13">
        <f t="shared" si="0"/>
        <v>1.10151585097071</v>
      </c>
      <c r="K13" s="1">
        <v>105116</v>
      </c>
      <c r="L13" s="1">
        <v>105116</v>
      </c>
      <c r="M13" s="1">
        <v>268</v>
      </c>
      <c r="N13" s="7" t="s">
        <v>968</v>
      </c>
    </row>
    <row r="14" ht="14.25" spans="1:14">
      <c r="A14" s="1" t="s">
        <v>84</v>
      </c>
      <c r="B14" s="3" t="s">
        <v>26</v>
      </c>
      <c r="C14" s="3" t="s">
        <v>969</v>
      </c>
      <c r="D14" s="1">
        <v>0.196</v>
      </c>
      <c r="E14" s="3" t="s">
        <v>970</v>
      </c>
      <c r="F14" s="3" t="s">
        <v>971</v>
      </c>
      <c r="G14" s="4">
        <v>6947</v>
      </c>
      <c r="H14" s="1">
        <v>119</v>
      </c>
      <c r="I14" s="5">
        <v>303.83</v>
      </c>
      <c r="J14">
        <f t="shared" si="0"/>
        <v>1.29773627660464</v>
      </c>
      <c r="K14" s="1">
        <v>49792</v>
      </c>
      <c r="L14" s="1">
        <v>49792</v>
      </c>
      <c r="M14" s="1">
        <v>189</v>
      </c>
      <c r="N14" s="7" t="s">
        <v>972</v>
      </c>
    </row>
    <row r="15" ht="14.25" spans="1:14">
      <c r="A15" s="1" t="s">
        <v>89</v>
      </c>
      <c r="B15" s="3" t="s">
        <v>345</v>
      </c>
      <c r="C15" s="3" t="s">
        <v>32</v>
      </c>
      <c r="D15" s="1">
        <v>0.451</v>
      </c>
      <c r="E15" s="3" t="s">
        <v>973</v>
      </c>
      <c r="F15" s="3" t="s">
        <v>974</v>
      </c>
      <c r="G15" s="4">
        <v>6724</v>
      </c>
      <c r="H15" s="1">
        <v>128</v>
      </c>
      <c r="I15" s="5">
        <v>334.44</v>
      </c>
      <c r="J15">
        <f t="shared" si="0"/>
        <v>0.985149504875977</v>
      </c>
      <c r="K15" s="1">
        <v>95732</v>
      </c>
      <c r="L15" s="1">
        <v>95732</v>
      </c>
      <c r="M15" s="1">
        <v>156</v>
      </c>
      <c r="N15" s="7" t="s">
        <v>686</v>
      </c>
    </row>
    <row r="16" ht="14.25" spans="1:14">
      <c r="A16" s="1" t="s">
        <v>95</v>
      </c>
      <c r="B16" s="3" t="s">
        <v>171</v>
      </c>
      <c r="C16" s="3" t="s">
        <v>569</v>
      </c>
      <c r="D16" s="1">
        <v>0.272</v>
      </c>
      <c r="E16" s="3" t="s">
        <v>975</v>
      </c>
      <c r="F16" s="3" t="s">
        <v>976</v>
      </c>
      <c r="G16" s="4">
        <v>5013</v>
      </c>
      <c r="H16" s="1">
        <v>54</v>
      </c>
      <c r="I16" s="5">
        <v>296.23</v>
      </c>
      <c r="J16">
        <f t="shared" si="0"/>
        <v>1.15453032243121</v>
      </c>
      <c r="K16" s="1">
        <v>47434</v>
      </c>
      <c r="L16" s="1">
        <v>47434</v>
      </c>
      <c r="M16" s="1">
        <v>189</v>
      </c>
      <c r="N16" s="7" t="s">
        <v>977</v>
      </c>
    </row>
    <row r="17" ht="14.25" spans="1:14">
      <c r="A17" s="1" t="s">
        <v>101</v>
      </c>
      <c r="B17" s="3" t="s">
        <v>715</v>
      </c>
      <c r="C17" s="3" t="s">
        <v>752</v>
      </c>
      <c r="D17" s="1">
        <v>0.176</v>
      </c>
      <c r="E17" s="3" t="s">
        <v>978</v>
      </c>
      <c r="F17" s="3" t="s">
        <v>979</v>
      </c>
      <c r="G17" s="4">
        <v>11337</v>
      </c>
      <c r="H17" s="1">
        <v>217</v>
      </c>
      <c r="I17" s="5">
        <v>301.13</v>
      </c>
      <c r="J17">
        <f t="shared" si="0"/>
        <v>1.23907068535516</v>
      </c>
      <c r="K17" s="1">
        <v>76267</v>
      </c>
      <c r="L17" s="1">
        <v>76267</v>
      </c>
      <c r="M17" s="1">
        <v>136</v>
      </c>
      <c r="N17" s="7" t="s">
        <v>980</v>
      </c>
    </row>
    <row r="18" ht="14.25" spans="1:14">
      <c r="A18" s="1" t="s">
        <v>107</v>
      </c>
      <c r="B18" s="3" t="s">
        <v>536</v>
      </c>
      <c r="C18" s="3" t="s">
        <v>981</v>
      </c>
      <c r="D18" s="1">
        <v>0.501</v>
      </c>
      <c r="E18" s="3" t="s">
        <v>982</v>
      </c>
      <c r="F18" s="3" t="s">
        <v>983</v>
      </c>
      <c r="G18" s="4">
        <v>7491</v>
      </c>
      <c r="H18" s="1">
        <v>84</v>
      </c>
      <c r="I18" s="5">
        <v>295.76</v>
      </c>
      <c r="J18">
        <f t="shared" si="0"/>
        <v>1.32969515414175</v>
      </c>
      <c r="K18" s="1">
        <v>49936</v>
      </c>
      <c r="L18" s="1">
        <v>49936</v>
      </c>
      <c r="M18" s="1">
        <v>85</v>
      </c>
      <c r="N18" s="7" t="s">
        <v>984</v>
      </c>
    </row>
    <row r="19" ht="14.25" spans="1:14">
      <c r="A19" s="1" t="s">
        <v>113</v>
      </c>
      <c r="B19" s="3" t="s">
        <v>881</v>
      </c>
      <c r="C19" s="3" t="s">
        <v>985</v>
      </c>
      <c r="D19" s="1">
        <v>0.212</v>
      </c>
      <c r="E19" s="3" t="s">
        <v>986</v>
      </c>
      <c r="F19" s="3" t="s">
        <v>987</v>
      </c>
      <c r="G19" s="4">
        <v>7354</v>
      </c>
      <c r="H19" s="1">
        <v>116</v>
      </c>
      <c r="I19" s="5">
        <v>319.48</v>
      </c>
      <c r="J19">
        <f t="shared" si="0"/>
        <v>1.22422512851032</v>
      </c>
      <c r="K19" s="1">
        <v>67028</v>
      </c>
      <c r="L19" s="1">
        <v>67028</v>
      </c>
      <c r="M19" s="1">
        <v>118</v>
      </c>
      <c r="N19" s="7" t="s">
        <v>988</v>
      </c>
    </row>
    <row r="20" ht="14.25" spans="1:14">
      <c r="A20" s="1" t="s">
        <v>119</v>
      </c>
      <c r="B20" s="3" t="s">
        <v>466</v>
      </c>
      <c r="C20" s="3" t="s">
        <v>482</v>
      </c>
      <c r="D20" s="1">
        <v>0.324</v>
      </c>
      <c r="E20" s="3" t="s">
        <v>989</v>
      </c>
      <c r="F20" s="3" t="s">
        <v>990</v>
      </c>
      <c r="G20" s="4">
        <v>6589</v>
      </c>
      <c r="H20" s="1">
        <v>108</v>
      </c>
      <c r="I20" s="5">
        <v>286.81</v>
      </c>
      <c r="J20">
        <f t="shared" si="0"/>
        <v>1.34377202726238</v>
      </c>
      <c r="K20" s="1">
        <v>53700</v>
      </c>
      <c r="L20" s="1">
        <v>53700</v>
      </c>
      <c r="M20" s="1">
        <v>89</v>
      </c>
      <c r="N20" s="7" t="s">
        <v>991</v>
      </c>
    </row>
    <row r="21" ht="14.25" spans="1:14">
      <c r="A21" s="1" t="s">
        <v>125</v>
      </c>
      <c r="B21" s="3" t="s">
        <v>147</v>
      </c>
      <c r="C21" s="3" t="s">
        <v>992</v>
      </c>
      <c r="D21" s="1">
        <v>0.609</v>
      </c>
      <c r="E21" s="3" t="s">
        <v>993</v>
      </c>
      <c r="F21" s="3" t="s">
        <v>994</v>
      </c>
      <c r="G21" s="4">
        <v>22502</v>
      </c>
      <c r="H21" s="1">
        <v>585</v>
      </c>
      <c r="I21" s="5">
        <v>331.92</v>
      </c>
      <c r="J21">
        <f t="shared" si="0"/>
        <v>1.43316135722551</v>
      </c>
      <c r="K21" s="1">
        <v>90728</v>
      </c>
      <c r="L21" s="1">
        <v>90728</v>
      </c>
      <c r="M21" s="1">
        <v>49</v>
      </c>
      <c r="N21" s="7" t="s">
        <v>995</v>
      </c>
    </row>
    <row r="22" ht="14.25" spans="1:14">
      <c r="A22" s="1" t="s">
        <v>130</v>
      </c>
      <c r="B22" s="3" t="s">
        <v>881</v>
      </c>
      <c r="C22" s="3" t="s">
        <v>109</v>
      </c>
      <c r="D22" s="1">
        <v>0.562</v>
      </c>
      <c r="E22" s="3" t="s">
        <v>996</v>
      </c>
      <c r="F22" s="3" t="s">
        <v>997</v>
      </c>
      <c r="G22" s="4">
        <v>4762</v>
      </c>
      <c r="H22" s="1">
        <v>40</v>
      </c>
      <c r="I22" s="5">
        <v>289.25</v>
      </c>
      <c r="J22">
        <f t="shared" si="0"/>
        <v>1.11621080540506</v>
      </c>
      <c r="K22" s="1">
        <v>40798</v>
      </c>
      <c r="L22" s="1">
        <v>40798</v>
      </c>
      <c r="M22" s="1">
        <v>42</v>
      </c>
      <c r="N22" s="7" t="s">
        <v>510</v>
      </c>
    </row>
    <row r="23" ht="14.25" spans="1:14">
      <c r="A23" s="1" t="s">
        <v>135</v>
      </c>
      <c r="B23" s="3" t="s">
        <v>345</v>
      </c>
      <c r="C23" s="3" t="s">
        <v>836</v>
      </c>
      <c r="D23" s="1">
        <v>0.087</v>
      </c>
      <c r="E23" s="3" t="s">
        <v>998</v>
      </c>
      <c r="F23" s="3" t="s">
        <v>999</v>
      </c>
      <c r="G23" s="4">
        <v>1925</v>
      </c>
      <c r="H23" s="1">
        <v>33</v>
      </c>
      <c r="I23" s="5">
        <v>309.72</v>
      </c>
      <c r="J23">
        <f t="shared" si="0"/>
        <v>1.08960762438606</v>
      </c>
      <c r="K23" s="1">
        <v>52600</v>
      </c>
      <c r="L23" s="1">
        <v>52600</v>
      </c>
      <c r="M23" s="1">
        <v>36</v>
      </c>
      <c r="N23" s="7" t="s">
        <v>1000</v>
      </c>
    </row>
    <row r="24" ht="14.25" spans="1:14">
      <c r="A24" s="1" t="s">
        <v>141</v>
      </c>
      <c r="B24" s="3" t="s">
        <v>108</v>
      </c>
      <c r="C24" s="3" t="s">
        <v>1001</v>
      </c>
      <c r="D24" s="1">
        <v>1.103</v>
      </c>
      <c r="E24" s="3" t="s">
        <v>1002</v>
      </c>
      <c r="F24" s="3" t="s">
        <v>1003</v>
      </c>
      <c r="G24" s="4">
        <v>5996</v>
      </c>
      <c r="H24" s="1">
        <v>58</v>
      </c>
      <c r="I24" s="5">
        <v>301.53</v>
      </c>
      <c r="J24">
        <f t="shared" si="0"/>
        <v>1.14385388241131</v>
      </c>
      <c r="K24" s="1">
        <v>68700</v>
      </c>
      <c r="L24" s="1">
        <v>68700</v>
      </c>
      <c r="M24" s="1">
        <v>29</v>
      </c>
      <c r="N24" s="7" t="s">
        <v>1004</v>
      </c>
    </row>
    <row r="25" ht="14.25" spans="1:14">
      <c r="A25" s="1" t="s">
        <v>146</v>
      </c>
      <c r="B25" s="3" t="s">
        <v>97</v>
      </c>
      <c r="C25" s="3" t="s">
        <v>1005</v>
      </c>
      <c r="D25" s="1">
        <v>0.311</v>
      </c>
      <c r="E25" s="3" t="s">
        <v>1006</v>
      </c>
      <c r="F25" s="3" t="s">
        <v>1007</v>
      </c>
      <c r="G25" s="4">
        <v>8760</v>
      </c>
      <c r="H25" s="1">
        <v>128</v>
      </c>
      <c r="I25" s="5">
        <v>294.3</v>
      </c>
      <c r="J25">
        <f t="shared" si="0"/>
        <v>1.39718032902901</v>
      </c>
      <c r="K25" s="1">
        <v>48633</v>
      </c>
      <c r="L25" s="1">
        <v>48633</v>
      </c>
      <c r="M25" s="1">
        <v>21</v>
      </c>
      <c r="N25" s="7" t="s">
        <v>1008</v>
      </c>
    </row>
    <row r="26" ht="14.25" spans="1:14">
      <c r="A26" s="1" t="s">
        <v>152</v>
      </c>
      <c r="B26" s="3" t="s">
        <v>253</v>
      </c>
      <c r="C26" s="3" t="s">
        <v>1009</v>
      </c>
      <c r="D26" s="1">
        <v>0.249</v>
      </c>
      <c r="E26" s="3" t="s">
        <v>1010</v>
      </c>
      <c r="F26" s="3" t="s">
        <v>1011</v>
      </c>
      <c r="G26" s="4">
        <v>4327</v>
      </c>
      <c r="H26" s="1">
        <v>27</v>
      </c>
      <c r="I26" s="5">
        <v>276.91</v>
      </c>
      <c r="J26">
        <f t="shared" si="0"/>
        <v>1.07821843152038</v>
      </c>
      <c r="K26" s="1">
        <v>40000</v>
      </c>
      <c r="L26" s="1">
        <v>40000</v>
      </c>
      <c r="M26" s="1">
        <v>23</v>
      </c>
      <c r="N26" s="7" t="s">
        <v>1012</v>
      </c>
    </row>
    <row r="27" ht="14.25" spans="1:14">
      <c r="A27" s="1" t="s">
        <v>158</v>
      </c>
      <c r="B27" s="3" t="s">
        <v>227</v>
      </c>
      <c r="C27" s="3" t="s">
        <v>985</v>
      </c>
      <c r="D27" s="1">
        <v>0.091</v>
      </c>
      <c r="E27" s="3" t="s">
        <v>1013</v>
      </c>
      <c r="F27" s="3" t="s">
        <v>1014</v>
      </c>
      <c r="G27" s="4">
        <v>4216</v>
      </c>
      <c r="H27" s="1">
        <v>36</v>
      </c>
      <c r="I27" s="5">
        <v>285.79</v>
      </c>
      <c r="J27">
        <f t="shared" si="0"/>
        <v>1.07916782075491</v>
      </c>
      <c r="K27" s="1">
        <v>37100</v>
      </c>
      <c r="L27" s="1">
        <v>37100</v>
      </c>
      <c r="M27" s="1">
        <v>22</v>
      </c>
      <c r="N27" s="7" t="s">
        <v>1015</v>
      </c>
    </row>
    <row r="28" ht="14.25" spans="1:14">
      <c r="A28" s="1" t="s">
        <v>164</v>
      </c>
      <c r="B28" s="3" t="s">
        <v>930</v>
      </c>
      <c r="C28" s="3" t="s">
        <v>1016</v>
      </c>
      <c r="D28" s="1">
        <v>0.002</v>
      </c>
      <c r="E28" s="3" t="s">
        <v>1017</v>
      </c>
      <c r="F28" s="3" t="s">
        <v>1018</v>
      </c>
      <c r="G28" s="4">
        <v>542</v>
      </c>
      <c r="H28" s="1">
        <v>14</v>
      </c>
      <c r="I28" s="5">
        <v>274.33</v>
      </c>
      <c r="J28">
        <f t="shared" si="0"/>
        <v>1.08316541330278</v>
      </c>
      <c r="K28" s="1">
        <v>46247</v>
      </c>
      <c r="L28" s="1">
        <v>46247</v>
      </c>
      <c r="M28" s="1">
        <v>14</v>
      </c>
      <c r="N28" s="7" t="s">
        <v>1019</v>
      </c>
    </row>
    <row r="29" ht="14.25" spans="1:14">
      <c r="A29" s="1" t="s">
        <v>170</v>
      </c>
      <c r="B29" s="3" t="s">
        <v>881</v>
      </c>
      <c r="C29" s="3" t="s">
        <v>1020</v>
      </c>
      <c r="D29" s="1">
        <v>0.068</v>
      </c>
      <c r="E29" s="3" t="s">
        <v>1021</v>
      </c>
      <c r="F29" s="3" t="s">
        <v>1022</v>
      </c>
      <c r="G29" s="4">
        <v>5217</v>
      </c>
      <c r="H29" s="1">
        <v>52</v>
      </c>
      <c r="I29" s="5">
        <v>295.95</v>
      </c>
      <c r="J29">
        <f t="shared" si="0"/>
        <v>1.33129230878325</v>
      </c>
      <c r="K29" s="1">
        <v>63400</v>
      </c>
      <c r="L29" s="1">
        <v>63400</v>
      </c>
      <c r="M29" s="1">
        <v>16</v>
      </c>
      <c r="N29" s="7" t="s">
        <v>697</v>
      </c>
    </row>
    <row r="30" ht="14.25" spans="1:14">
      <c r="A30" s="1" t="s">
        <v>175</v>
      </c>
      <c r="B30" s="3" t="s">
        <v>1023</v>
      </c>
      <c r="C30" s="3" t="s">
        <v>1024</v>
      </c>
      <c r="D30" s="1">
        <v>0.016</v>
      </c>
      <c r="E30" s="3" t="s">
        <v>1025</v>
      </c>
      <c r="F30" s="3" t="s">
        <v>1026</v>
      </c>
      <c r="G30" s="4">
        <v>2476</v>
      </c>
      <c r="H30" s="1">
        <v>28</v>
      </c>
      <c r="I30" s="5">
        <v>266.82</v>
      </c>
      <c r="J30">
        <f t="shared" si="0"/>
        <v>0.96421178479579</v>
      </c>
      <c r="K30" s="1">
        <v>31300</v>
      </c>
      <c r="L30" s="1">
        <v>31300</v>
      </c>
      <c r="M30" s="1">
        <v>15</v>
      </c>
      <c r="N30" s="7" t="s">
        <v>1027</v>
      </c>
    </row>
    <row r="31" ht="14.25" spans="1:14">
      <c r="A31" s="1" t="s">
        <v>180</v>
      </c>
      <c r="B31" s="3" t="s">
        <v>103</v>
      </c>
      <c r="C31" s="3" t="s">
        <v>401</v>
      </c>
      <c r="D31" s="1">
        <v>0.001</v>
      </c>
      <c r="E31" s="3" t="s">
        <v>1028</v>
      </c>
      <c r="F31" s="3" t="s">
        <v>1029</v>
      </c>
      <c r="G31" s="4">
        <v>816</v>
      </c>
      <c r="H31" s="1">
        <v>11</v>
      </c>
      <c r="I31" s="5">
        <v>263.12</v>
      </c>
      <c r="J31">
        <f t="shared" si="0"/>
        <v>0.86977405940982</v>
      </c>
      <c r="K31" s="1">
        <v>48900</v>
      </c>
      <c r="L31" s="1">
        <v>48900</v>
      </c>
      <c r="M31" s="1">
        <v>7</v>
      </c>
      <c r="N31" s="7" t="s">
        <v>1030</v>
      </c>
    </row>
    <row r="32" ht="14.25" spans="1:14">
      <c r="A32" s="1" t="s">
        <v>186</v>
      </c>
      <c r="B32" s="3" t="s">
        <v>148</v>
      </c>
      <c r="C32" s="3" t="s">
        <v>1031</v>
      </c>
      <c r="D32" s="1">
        <v>0.009</v>
      </c>
      <c r="E32" s="3" t="s">
        <v>1032</v>
      </c>
      <c r="F32" s="3" t="s">
        <v>1033</v>
      </c>
      <c r="G32" s="4">
        <v>1247</v>
      </c>
      <c r="H32" s="1">
        <v>14</v>
      </c>
      <c r="I32" s="5">
        <v>272.92</v>
      </c>
      <c r="J32">
        <f t="shared" si="0"/>
        <v>0.859007291305559</v>
      </c>
      <c r="K32" s="1">
        <v>56200</v>
      </c>
      <c r="L32" s="1">
        <v>56200</v>
      </c>
      <c r="M32" s="1">
        <v>6</v>
      </c>
      <c r="N32" s="7" t="s">
        <v>1034</v>
      </c>
    </row>
    <row r="33" ht="14.25" spans="1:14">
      <c r="A33" s="1" t="s">
        <v>191</v>
      </c>
      <c r="B33" s="3" t="s">
        <v>817</v>
      </c>
      <c r="C33" s="3" t="s">
        <v>1035</v>
      </c>
      <c r="D33" s="1">
        <v>0.006</v>
      </c>
      <c r="E33" s="3" t="s">
        <v>1036</v>
      </c>
      <c r="F33" s="3" t="s">
        <v>1037</v>
      </c>
      <c r="G33" s="4">
        <v>2793</v>
      </c>
      <c r="H33" s="1">
        <v>51</v>
      </c>
      <c r="I33" s="5">
        <v>271.84</v>
      </c>
      <c r="J33">
        <f t="shared" si="0"/>
        <v>1.19195536868031</v>
      </c>
      <c r="K33" s="1">
        <v>53200</v>
      </c>
      <c r="L33" s="1">
        <v>53200</v>
      </c>
      <c r="M33" s="1">
        <v>3</v>
      </c>
      <c r="N33" s="7" t="s">
        <v>545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G16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8.0176991150442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201</v>
      </c>
      <c r="C3" s="3" t="s">
        <v>1038</v>
      </c>
      <c r="D3" s="1">
        <v>0.447</v>
      </c>
      <c r="E3" s="3" t="s">
        <v>1039</v>
      </c>
      <c r="F3" s="3" t="s">
        <v>1040</v>
      </c>
      <c r="G3" s="4">
        <v>11018</v>
      </c>
      <c r="H3" s="1">
        <v>352</v>
      </c>
      <c r="I3" s="5">
        <v>399</v>
      </c>
      <c r="J3">
        <f>E3/F3</f>
        <v>2.22518328312234</v>
      </c>
      <c r="K3" s="1">
        <v>210980</v>
      </c>
      <c r="L3" s="1">
        <v>210980</v>
      </c>
      <c r="M3" s="1">
        <v>4568</v>
      </c>
      <c r="N3" s="7" t="s">
        <v>1041</v>
      </c>
    </row>
    <row r="4" ht="14.25" spans="1:14">
      <c r="A4" s="1" t="s">
        <v>24</v>
      </c>
      <c r="B4" s="3" t="s">
        <v>38</v>
      </c>
      <c r="C4" s="3" t="s">
        <v>1023</v>
      </c>
      <c r="D4" s="1">
        <v>1.424</v>
      </c>
      <c r="E4" s="3" t="s">
        <v>1042</v>
      </c>
      <c r="F4" s="3" t="s">
        <v>1043</v>
      </c>
      <c r="G4" s="4">
        <v>4017</v>
      </c>
      <c r="H4" s="1">
        <v>56</v>
      </c>
      <c r="I4" s="5">
        <v>344.11</v>
      </c>
      <c r="J4">
        <f t="shared" ref="J4:J33" si="0">E4/F4</f>
        <v>0.879570087050068</v>
      </c>
      <c r="K4" s="1">
        <v>107960</v>
      </c>
      <c r="L4" s="1">
        <v>107960</v>
      </c>
      <c r="M4" s="1">
        <v>2356</v>
      </c>
      <c r="N4" s="7" t="s">
        <v>1044</v>
      </c>
    </row>
    <row r="5" ht="14.25" spans="1:14">
      <c r="A5" s="1" t="s">
        <v>30</v>
      </c>
      <c r="B5" s="3" t="s">
        <v>56</v>
      </c>
      <c r="C5" s="3" t="s">
        <v>1045</v>
      </c>
      <c r="D5" s="1">
        <v>0.016</v>
      </c>
      <c r="E5" s="3" t="s">
        <v>1046</v>
      </c>
      <c r="F5" s="3" t="s">
        <v>1047</v>
      </c>
      <c r="G5" s="4">
        <v>8902</v>
      </c>
      <c r="H5" s="1">
        <v>70</v>
      </c>
      <c r="I5" s="5">
        <v>305.06</v>
      </c>
      <c r="J5">
        <f t="shared" si="0"/>
        <v>1.36364997071926</v>
      </c>
      <c r="K5" s="1">
        <v>48070</v>
      </c>
      <c r="L5" s="1">
        <v>48070</v>
      </c>
      <c r="M5" s="1">
        <v>3426</v>
      </c>
      <c r="N5" s="7" t="s">
        <v>1048</v>
      </c>
    </row>
    <row r="6" ht="14.25" spans="1:14">
      <c r="A6" s="1" t="s">
        <v>36</v>
      </c>
      <c r="B6" s="3" t="s">
        <v>56</v>
      </c>
      <c r="C6" s="3" t="s">
        <v>1049</v>
      </c>
      <c r="D6" s="1">
        <v>0.566</v>
      </c>
      <c r="E6" s="3" t="s">
        <v>1050</v>
      </c>
      <c r="F6" s="3" t="s">
        <v>1051</v>
      </c>
      <c r="G6" s="4">
        <v>4368</v>
      </c>
      <c r="H6" s="1">
        <v>44</v>
      </c>
      <c r="I6" s="5">
        <v>308.73</v>
      </c>
      <c r="J6">
        <f t="shared" si="0"/>
        <v>1.36494665421025</v>
      </c>
      <c r="K6" s="1">
        <v>48512</v>
      </c>
      <c r="L6" s="1">
        <v>48512</v>
      </c>
      <c r="M6" s="1">
        <v>1235</v>
      </c>
      <c r="N6" s="7" t="s">
        <v>492</v>
      </c>
    </row>
    <row r="7" ht="14.25" spans="1:14">
      <c r="A7" s="1" t="s">
        <v>42</v>
      </c>
      <c r="B7" s="3" t="s">
        <v>699</v>
      </c>
      <c r="C7" s="3" t="s">
        <v>1052</v>
      </c>
      <c r="D7" s="1">
        <v>0.003</v>
      </c>
      <c r="E7" s="3" t="s">
        <v>1053</v>
      </c>
      <c r="F7" s="3" t="s">
        <v>1054</v>
      </c>
      <c r="G7" s="4">
        <v>3206</v>
      </c>
      <c r="H7" s="1">
        <v>29</v>
      </c>
      <c r="I7" s="5">
        <v>293.89</v>
      </c>
      <c r="J7">
        <f t="shared" si="0"/>
        <v>1.02438768681975</v>
      </c>
      <c r="K7" s="1">
        <v>67852</v>
      </c>
      <c r="L7" s="1">
        <v>67852</v>
      </c>
      <c r="M7" s="1">
        <v>1123</v>
      </c>
      <c r="N7" s="7" t="s">
        <v>1055</v>
      </c>
    </row>
    <row r="8" ht="14.25" spans="1:14">
      <c r="A8" s="1" t="s">
        <v>48</v>
      </c>
      <c r="B8" s="3" t="s">
        <v>1023</v>
      </c>
      <c r="C8" s="3" t="s">
        <v>197</v>
      </c>
      <c r="D8" s="1">
        <v>0.109</v>
      </c>
      <c r="E8" s="3" t="s">
        <v>1056</v>
      </c>
      <c r="F8" s="3" t="s">
        <v>1057</v>
      </c>
      <c r="G8" s="4">
        <v>3452</v>
      </c>
      <c r="H8" s="1">
        <v>81</v>
      </c>
      <c r="I8" s="5">
        <v>311.01</v>
      </c>
      <c r="J8">
        <f t="shared" si="0"/>
        <v>1.26448581166932</v>
      </c>
      <c r="K8" s="1">
        <v>57177</v>
      </c>
      <c r="L8" s="1">
        <v>57177</v>
      </c>
      <c r="M8" s="1">
        <v>589</v>
      </c>
      <c r="N8" s="7" t="s">
        <v>1058</v>
      </c>
    </row>
    <row r="9" ht="14.25" spans="1:14">
      <c r="A9" s="1" t="s">
        <v>54</v>
      </c>
      <c r="B9" s="3" t="s">
        <v>171</v>
      </c>
      <c r="C9" s="3" t="s">
        <v>1059</v>
      </c>
      <c r="D9" s="1">
        <v>0.128</v>
      </c>
      <c r="E9" s="3" t="s">
        <v>1060</v>
      </c>
      <c r="F9" s="3" t="s">
        <v>1061</v>
      </c>
      <c r="G9" s="4">
        <v>3421</v>
      </c>
      <c r="H9" s="1">
        <v>48</v>
      </c>
      <c r="I9" s="5">
        <v>292.77</v>
      </c>
      <c r="J9">
        <f t="shared" si="0"/>
        <v>1.15654548057618</v>
      </c>
      <c r="K9" s="1">
        <v>42109</v>
      </c>
      <c r="L9" s="1">
        <v>42109</v>
      </c>
      <c r="M9" s="1">
        <v>456</v>
      </c>
      <c r="N9" s="7" t="s">
        <v>1062</v>
      </c>
    </row>
    <row r="10" ht="14.25" spans="1:14">
      <c r="A10" s="1" t="s">
        <v>60</v>
      </c>
      <c r="B10" s="3" t="s">
        <v>253</v>
      </c>
      <c r="C10" s="3" t="s">
        <v>1063</v>
      </c>
      <c r="D10" s="1">
        <v>0.008</v>
      </c>
      <c r="E10" s="3" t="s">
        <v>1064</v>
      </c>
      <c r="F10" s="3" t="s">
        <v>1065</v>
      </c>
      <c r="G10" s="4">
        <v>2873</v>
      </c>
      <c r="H10" s="1">
        <v>39</v>
      </c>
      <c r="I10" s="5">
        <v>292.87</v>
      </c>
      <c r="J10">
        <f t="shared" si="0"/>
        <v>1.29580221885375</v>
      </c>
      <c r="K10" s="1">
        <v>36159</v>
      </c>
      <c r="L10" s="1">
        <v>36159</v>
      </c>
      <c r="M10" s="1">
        <v>386</v>
      </c>
      <c r="N10" s="7" t="s">
        <v>1066</v>
      </c>
    </row>
    <row r="11" ht="14.25" spans="1:14">
      <c r="A11" s="1" t="s">
        <v>66</v>
      </c>
      <c r="B11" s="3" t="s">
        <v>222</v>
      </c>
      <c r="C11" s="3" t="s">
        <v>1067</v>
      </c>
      <c r="D11" s="1">
        <v>2.078</v>
      </c>
      <c r="E11" s="3" t="s">
        <v>1068</v>
      </c>
      <c r="F11" s="3" t="s">
        <v>1069</v>
      </c>
      <c r="G11" s="4">
        <v>8726</v>
      </c>
      <c r="H11" s="1">
        <v>355</v>
      </c>
      <c r="I11" s="5">
        <v>410.28</v>
      </c>
      <c r="J11">
        <f t="shared" si="0"/>
        <v>1.66351782078356</v>
      </c>
      <c r="K11" s="1">
        <v>172781</v>
      </c>
      <c r="L11" s="1">
        <v>172781</v>
      </c>
      <c r="M11" s="1">
        <v>321</v>
      </c>
      <c r="N11" s="7" t="s">
        <v>1070</v>
      </c>
    </row>
    <row r="12" ht="14.25" spans="1:14">
      <c r="A12" s="1" t="s">
        <v>72</v>
      </c>
      <c r="B12" s="3" t="s">
        <v>108</v>
      </c>
      <c r="C12" s="3" t="s">
        <v>715</v>
      </c>
      <c r="D12" s="1">
        <v>0.858</v>
      </c>
      <c r="E12" s="3" t="s">
        <v>1071</v>
      </c>
      <c r="F12" s="3" t="s">
        <v>1072</v>
      </c>
      <c r="G12" s="4">
        <v>22726</v>
      </c>
      <c r="H12" s="1">
        <v>442</v>
      </c>
      <c r="I12" s="5">
        <v>361.93</v>
      </c>
      <c r="J12">
        <f t="shared" si="0"/>
        <v>1.16279490692851</v>
      </c>
      <c r="K12" s="1">
        <v>123607</v>
      </c>
      <c r="L12" s="1">
        <v>123607</v>
      </c>
      <c r="M12" s="1">
        <v>345</v>
      </c>
      <c r="N12" s="7" t="s">
        <v>1073</v>
      </c>
    </row>
    <row r="13" ht="14.25" spans="1:14">
      <c r="A13" s="1" t="s">
        <v>78</v>
      </c>
      <c r="B13" s="3" t="s">
        <v>562</v>
      </c>
      <c r="C13" s="3" t="s">
        <v>952</v>
      </c>
      <c r="D13" s="1">
        <v>0.207</v>
      </c>
      <c r="E13" s="3" t="s">
        <v>1074</v>
      </c>
      <c r="F13" s="3" t="s">
        <v>1075</v>
      </c>
      <c r="G13" s="4">
        <v>20883</v>
      </c>
      <c r="H13" s="1">
        <v>428</v>
      </c>
      <c r="I13" s="5">
        <v>387.49</v>
      </c>
      <c r="J13">
        <f t="shared" si="0"/>
        <v>1.0784223538205</v>
      </c>
      <c r="K13" s="1">
        <v>116430</v>
      </c>
      <c r="L13" s="1">
        <v>116430</v>
      </c>
      <c r="M13" s="1">
        <v>356</v>
      </c>
      <c r="N13" s="7" t="s">
        <v>1076</v>
      </c>
    </row>
    <row r="14" ht="14.25" spans="1:14">
      <c r="A14" s="1" t="s">
        <v>84</v>
      </c>
      <c r="B14" s="3" t="s">
        <v>466</v>
      </c>
      <c r="C14" s="3" t="s">
        <v>1077</v>
      </c>
      <c r="D14" s="1">
        <v>0.158</v>
      </c>
      <c r="E14" s="3" t="s">
        <v>1078</v>
      </c>
      <c r="F14" s="3" t="s">
        <v>1079</v>
      </c>
      <c r="G14" s="4">
        <v>8526</v>
      </c>
      <c r="H14" s="1">
        <v>126</v>
      </c>
      <c r="I14" s="5">
        <v>330.29</v>
      </c>
      <c r="J14">
        <f t="shared" si="0"/>
        <v>1.2210935744214</v>
      </c>
      <c r="K14" s="1">
        <v>60826</v>
      </c>
      <c r="L14" s="1">
        <v>60826</v>
      </c>
      <c r="M14" s="1">
        <v>256</v>
      </c>
      <c r="N14" s="7" t="s">
        <v>1080</v>
      </c>
    </row>
    <row r="15" ht="14.25" spans="1:14">
      <c r="A15" s="1" t="s">
        <v>89</v>
      </c>
      <c r="B15" s="3" t="s">
        <v>147</v>
      </c>
      <c r="C15" s="3" t="s">
        <v>618</v>
      </c>
      <c r="D15" s="1">
        <v>0.329</v>
      </c>
      <c r="E15" s="3" t="s">
        <v>1081</v>
      </c>
      <c r="F15" s="3" t="s">
        <v>1082</v>
      </c>
      <c r="G15" s="4">
        <v>7948</v>
      </c>
      <c r="H15" s="1">
        <v>136</v>
      </c>
      <c r="I15" s="5">
        <v>360.51</v>
      </c>
      <c r="J15">
        <f t="shared" si="0"/>
        <v>0.946725563925486</v>
      </c>
      <c r="K15" s="1">
        <v>112920</v>
      </c>
      <c r="L15" s="1">
        <v>112920</v>
      </c>
      <c r="M15" s="1">
        <v>215</v>
      </c>
      <c r="N15" s="7" t="s">
        <v>816</v>
      </c>
    </row>
    <row r="16" ht="14.25" spans="1:14">
      <c r="A16" s="1" t="s">
        <v>95</v>
      </c>
      <c r="B16" s="3" t="s">
        <v>131</v>
      </c>
      <c r="C16" s="3" t="s">
        <v>630</v>
      </c>
      <c r="D16" s="1">
        <v>0.274</v>
      </c>
      <c r="E16" s="3" t="s">
        <v>1083</v>
      </c>
      <c r="F16" s="3" t="s">
        <v>1084</v>
      </c>
      <c r="G16" s="4">
        <v>5927</v>
      </c>
      <c r="H16" s="1">
        <v>58</v>
      </c>
      <c r="I16" s="5">
        <v>319.13</v>
      </c>
      <c r="J16">
        <f t="shared" si="0"/>
        <v>1.09744851079088</v>
      </c>
      <c r="K16" s="1">
        <v>53164</v>
      </c>
      <c r="L16" s="1">
        <v>53164</v>
      </c>
      <c r="M16" s="1">
        <v>256</v>
      </c>
      <c r="N16" s="7" t="s">
        <v>1085</v>
      </c>
    </row>
    <row r="17" ht="14.25" spans="1:14">
      <c r="A17" s="1" t="s">
        <v>101</v>
      </c>
      <c r="B17" s="3" t="s">
        <v>417</v>
      </c>
      <c r="C17" s="3" t="s">
        <v>1086</v>
      </c>
      <c r="D17" s="1">
        <v>0.217</v>
      </c>
      <c r="E17" s="3" t="s">
        <v>1087</v>
      </c>
      <c r="F17" s="3" t="s">
        <v>1088</v>
      </c>
      <c r="G17" s="4">
        <v>13731</v>
      </c>
      <c r="H17" s="1">
        <v>229</v>
      </c>
      <c r="I17" s="5">
        <v>327.36</v>
      </c>
      <c r="J17">
        <f t="shared" si="0"/>
        <v>1.21330078831808</v>
      </c>
      <c r="K17" s="1">
        <v>70652</v>
      </c>
      <c r="L17" s="1">
        <v>70652</v>
      </c>
      <c r="M17" s="1">
        <v>189</v>
      </c>
      <c r="N17" s="7" t="s">
        <v>1089</v>
      </c>
    </row>
    <row r="18" ht="14.25" spans="1:14">
      <c r="A18" s="1" t="s">
        <v>107</v>
      </c>
      <c r="B18" s="3" t="s">
        <v>536</v>
      </c>
      <c r="C18" s="3" t="s">
        <v>1090</v>
      </c>
      <c r="D18" s="1">
        <v>0.327</v>
      </c>
      <c r="E18" s="3" t="s">
        <v>1091</v>
      </c>
      <c r="F18" s="3" t="s">
        <v>1092</v>
      </c>
      <c r="G18" s="4">
        <v>9205</v>
      </c>
      <c r="H18" s="1">
        <v>88</v>
      </c>
      <c r="I18" s="5">
        <v>322.12</v>
      </c>
      <c r="J18">
        <f t="shared" si="0"/>
        <v>1.24391847237651</v>
      </c>
      <c r="K18" s="1">
        <v>56388</v>
      </c>
      <c r="L18" s="1">
        <v>56388</v>
      </c>
      <c r="M18" s="1">
        <v>123</v>
      </c>
      <c r="N18" s="7" t="s">
        <v>1093</v>
      </c>
    </row>
    <row r="19" ht="14.25" spans="1:14">
      <c r="A19" s="1" t="s">
        <v>113</v>
      </c>
      <c r="B19" s="3" t="s">
        <v>817</v>
      </c>
      <c r="C19" s="3" t="s">
        <v>873</v>
      </c>
      <c r="D19" s="1">
        <v>0.183</v>
      </c>
      <c r="E19" s="3" t="s">
        <v>1094</v>
      </c>
      <c r="F19" s="3" t="s">
        <v>1095</v>
      </c>
      <c r="G19" s="4">
        <v>8193</v>
      </c>
      <c r="H19" s="1">
        <v>123</v>
      </c>
      <c r="I19" s="5">
        <v>344.4</v>
      </c>
      <c r="J19">
        <f t="shared" si="0"/>
        <v>1.15877559692665</v>
      </c>
      <c r="K19" s="1">
        <v>77670</v>
      </c>
      <c r="L19" s="1">
        <v>77670</v>
      </c>
      <c r="M19" s="1">
        <v>165</v>
      </c>
      <c r="N19" s="7" t="s">
        <v>1096</v>
      </c>
    </row>
    <row r="20" ht="14.25" spans="1:14">
      <c r="A20" s="1" t="s">
        <v>119</v>
      </c>
      <c r="B20" s="3" t="s">
        <v>881</v>
      </c>
      <c r="C20" s="3" t="s">
        <v>1097</v>
      </c>
      <c r="D20" s="1">
        <v>0.265</v>
      </c>
      <c r="E20" s="3" t="s">
        <v>1098</v>
      </c>
      <c r="F20" s="3" t="s">
        <v>1099</v>
      </c>
      <c r="G20" s="4">
        <v>7864</v>
      </c>
      <c r="H20" s="1">
        <v>116</v>
      </c>
      <c r="I20" s="5">
        <v>310.85</v>
      </c>
      <c r="J20">
        <f t="shared" si="0"/>
        <v>1.22231482618263</v>
      </c>
      <c r="K20" s="1">
        <v>58700</v>
      </c>
      <c r="L20" s="1">
        <v>58700</v>
      </c>
      <c r="M20" s="1">
        <v>128</v>
      </c>
      <c r="N20" s="7" t="s">
        <v>1100</v>
      </c>
    </row>
    <row r="21" ht="14.25" spans="1:14">
      <c r="A21" s="1" t="s">
        <v>125</v>
      </c>
      <c r="B21" s="3" t="s">
        <v>218</v>
      </c>
      <c r="C21" s="3" t="s">
        <v>1101</v>
      </c>
      <c r="D21" s="1">
        <v>0.495</v>
      </c>
      <c r="E21" s="3" t="s">
        <v>1102</v>
      </c>
      <c r="F21" s="3" t="s">
        <v>1103</v>
      </c>
      <c r="G21" s="4">
        <v>23565</v>
      </c>
      <c r="H21" s="1">
        <v>627</v>
      </c>
      <c r="I21" s="5">
        <v>360.61</v>
      </c>
      <c r="J21">
        <f t="shared" si="0"/>
        <v>1.3837270226218</v>
      </c>
      <c r="K21" s="1">
        <v>100351</v>
      </c>
      <c r="L21" s="1">
        <v>100351</v>
      </c>
      <c r="M21" s="1">
        <v>75</v>
      </c>
      <c r="N21" s="7" t="s">
        <v>1104</v>
      </c>
    </row>
    <row r="22" ht="14.25" spans="1:14">
      <c r="A22" s="1" t="s">
        <v>130</v>
      </c>
      <c r="B22" s="3" t="s">
        <v>218</v>
      </c>
      <c r="C22" s="3" t="s">
        <v>109</v>
      </c>
      <c r="D22" s="1">
        <v>0.514</v>
      </c>
      <c r="E22" s="3" t="s">
        <v>1105</v>
      </c>
      <c r="F22" s="3" t="s">
        <v>1106</v>
      </c>
      <c r="G22" s="4">
        <v>5614</v>
      </c>
      <c r="H22" s="1">
        <v>41</v>
      </c>
      <c r="I22" s="5">
        <v>309.91</v>
      </c>
      <c r="J22">
        <f t="shared" si="0"/>
        <v>1.03766289508709</v>
      </c>
      <c r="K22" s="1">
        <v>42412</v>
      </c>
      <c r="L22" s="1">
        <v>42412</v>
      </c>
      <c r="M22" s="1">
        <v>65</v>
      </c>
      <c r="N22" s="7" t="s">
        <v>628</v>
      </c>
    </row>
    <row r="23" ht="14.25" spans="1:14">
      <c r="A23" s="1" t="s">
        <v>135</v>
      </c>
      <c r="B23" s="3" t="s">
        <v>1107</v>
      </c>
      <c r="C23" s="3" t="s">
        <v>836</v>
      </c>
      <c r="D23" s="1">
        <v>0.172</v>
      </c>
      <c r="E23" s="3" t="s">
        <v>1108</v>
      </c>
      <c r="F23" s="3" t="s">
        <v>1109</v>
      </c>
      <c r="G23" s="4">
        <v>2243</v>
      </c>
      <c r="H23" s="1">
        <v>33</v>
      </c>
      <c r="I23" s="5">
        <v>328.75</v>
      </c>
      <c r="J23">
        <f t="shared" si="0"/>
        <v>1.02275789851792</v>
      </c>
      <c r="K23" s="1">
        <v>57800</v>
      </c>
      <c r="L23" s="1">
        <v>57800</v>
      </c>
      <c r="M23" s="1">
        <v>56</v>
      </c>
      <c r="N23" s="7" t="s">
        <v>1110</v>
      </c>
    </row>
    <row r="24" ht="14.25" spans="1:14">
      <c r="A24" s="1" t="s">
        <v>141</v>
      </c>
      <c r="B24" s="3" t="s">
        <v>218</v>
      </c>
      <c r="C24" s="3" t="s">
        <v>1111</v>
      </c>
      <c r="D24" s="1">
        <v>0.936</v>
      </c>
      <c r="E24" s="3" t="s">
        <v>1112</v>
      </c>
      <c r="F24" s="3" t="s">
        <v>1113</v>
      </c>
      <c r="G24" s="4">
        <v>6843</v>
      </c>
      <c r="H24" s="1">
        <v>61</v>
      </c>
      <c r="I24" s="5">
        <v>325.47</v>
      </c>
      <c r="J24">
        <f t="shared" si="0"/>
        <v>1.06409321434135</v>
      </c>
      <c r="K24" s="1">
        <v>79500</v>
      </c>
      <c r="L24" s="1">
        <v>79500</v>
      </c>
      <c r="M24" s="1">
        <v>45</v>
      </c>
      <c r="N24" s="7" t="s">
        <v>1114</v>
      </c>
    </row>
    <row r="25" ht="14.25" spans="1:14">
      <c r="A25" s="1" t="s">
        <v>146</v>
      </c>
      <c r="B25" s="3" t="s">
        <v>56</v>
      </c>
      <c r="C25" s="3" t="s">
        <v>1115</v>
      </c>
      <c r="D25" s="1">
        <v>0.346</v>
      </c>
      <c r="E25" s="3" t="s">
        <v>1116</v>
      </c>
      <c r="F25" s="3" t="s">
        <v>1117</v>
      </c>
      <c r="G25" s="4">
        <v>10215</v>
      </c>
      <c r="H25" s="1">
        <v>136</v>
      </c>
      <c r="I25" s="5">
        <v>317.11</v>
      </c>
      <c r="J25">
        <f t="shared" si="0"/>
        <v>1.3300807952666</v>
      </c>
      <c r="K25" s="1">
        <v>55600</v>
      </c>
      <c r="L25" s="1">
        <v>55600</v>
      </c>
      <c r="M25" s="1">
        <v>32</v>
      </c>
      <c r="N25" s="7" t="s">
        <v>1118</v>
      </c>
    </row>
    <row r="26" ht="14.25" spans="1:14">
      <c r="A26" s="1" t="s">
        <v>152</v>
      </c>
      <c r="B26" s="3" t="s">
        <v>817</v>
      </c>
      <c r="C26" s="3" t="s">
        <v>1119</v>
      </c>
      <c r="D26" s="1">
        <v>0.066</v>
      </c>
      <c r="E26" s="3" t="s">
        <v>1120</v>
      </c>
      <c r="F26" s="3" t="s">
        <v>1121</v>
      </c>
      <c r="G26" s="4">
        <v>4892</v>
      </c>
      <c r="H26" s="1">
        <v>29</v>
      </c>
      <c r="I26" s="5">
        <v>293.51</v>
      </c>
      <c r="J26">
        <f t="shared" si="0"/>
        <v>0.954035174290847</v>
      </c>
      <c r="K26" s="1">
        <v>45300</v>
      </c>
      <c r="L26" s="1">
        <v>45300</v>
      </c>
      <c r="M26" s="1">
        <v>35</v>
      </c>
      <c r="N26" s="7" t="s">
        <v>1122</v>
      </c>
    </row>
    <row r="27" ht="14.25" spans="1:14">
      <c r="A27" s="1" t="s">
        <v>158</v>
      </c>
      <c r="B27" s="3" t="s">
        <v>131</v>
      </c>
      <c r="C27" s="3" t="s">
        <v>866</v>
      </c>
      <c r="D27" s="1">
        <v>0.054</v>
      </c>
      <c r="E27" s="3" t="s">
        <v>1123</v>
      </c>
      <c r="F27" s="3" t="s">
        <v>1124</v>
      </c>
      <c r="G27" s="4">
        <v>4973</v>
      </c>
      <c r="H27" s="1">
        <v>37</v>
      </c>
      <c r="I27" s="5">
        <v>303.46</v>
      </c>
      <c r="J27">
        <f t="shared" si="0"/>
        <v>1.04499792650153</v>
      </c>
      <c r="K27" s="1">
        <v>48000</v>
      </c>
      <c r="L27" s="1">
        <v>48000</v>
      </c>
      <c r="M27" s="1">
        <v>33</v>
      </c>
      <c r="N27" s="7" t="s">
        <v>1125</v>
      </c>
    </row>
    <row r="28" ht="14.25" spans="1:14">
      <c r="A28" s="1" t="s">
        <v>164</v>
      </c>
      <c r="B28" s="3" t="s">
        <v>851</v>
      </c>
      <c r="C28" s="3" t="s">
        <v>1126</v>
      </c>
      <c r="D28" s="1">
        <v>0.003</v>
      </c>
      <c r="E28" s="3" t="s">
        <v>1127</v>
      </c>
      <c r="F28" s="3" t="s">
        <v>1128</v>
      </c>
      <c r="G28" s="4">
        <v>627</v>
      </c>
      <c r="H28" s="1">
        <v>16</v>
      </c>
      <c r="I28" s="5">
        <v>293.79</v>
      </c>
      <c r="J28">
        <f t="shared" si="0"/>
        <v>1.06049247571058</v>
      </c>
      <c r="K28" s="1">
        <v>52700</v>
      </c>
      <c r="L28" s="1">
        <v>52700</v>
      </c>
      <c r="M28" s="1">
        <v>22</v>
      </c>
      <c r="N28" s="7" t="s">
        <v>1129</v>
      </c>
    </row>
    <row r="29" ht="14.25" spans="1:14">
      <c r="A29" s="1" t="s">
        <v>170</v>
      </c>
      <c r="B29" s="3" t="s">
        <v>218</v>
      </c>
      <c r="C29" s="3" t="s">
        <v>715</v>
      </c>
      <c r="D29" s="1">
        <v>0.114</v>
      </c>
      <c r="E29" s="3" t="s">
        <v>1130</v>
      </c>
      <c r="F29" s="3" t="s">
        <v>1131</v>
      </c>
      <c r="G29" s="4">
        <v>6143</v>
      </c>
      <c r="H29" s="1">
        <v>55</v>
      </c>
      <c r="I29" s="5">
        <v>322.89</v>
      </c>
      <c r="J29">
        <f t="shared" si="0"/>
        <v>1.29704130603886</v>
      </c>
      <c r="K29" s="1">
        <v>66600</v>
      </c>
      <c r="L29" s="1">
        <v>66600</v>
      </c>
      <c r="M29" s="1">
        <v>24</v>
      </c>
      <c r="N29" s="7" t="s">
        <v>828</v>
      </c>
    </row>
    <row r="30" ht="14.25" spans="1:14">
      <c r="A30" s="1" t="s">
        <v>175</v>
      </c>
      <c r="B30" s="3" t="s">
        <v>1063</v>
      </c>
      <c r="C30" s="3" t="s">
        <v>20</v>
      </c>
      <c r="D30" s="1">
        <v>0.021</v>
      </c>
      <c r="E30" s="3" t="s">
        <v>1132</v>
      </c>
      <c r="F30" s="3" t="s">
        <v>1133</v>
      </c>
      <c r="G30" s="4">
        <v>2891</v>
      </c>
      <c r="H30" s="1">
        <v>29</v>
      </c>
      <c r="I30" s="5">
        <v>289.14</v>
      </c>
      <c r="J30">
        <f t="shared" si="0"/>
        <v>0.956017357636862</v>
      </c>
      <c r="K30" s="1">
        <v>32900</v>
      </c>
      <c r="L30" s="1">
        <v>32900</v>
      </c>
      <c r="M30" s="1">
        <v>23</v>
      </c>
      <c r="N30" s="7" t="s">
        <v>1134</v>
      </c>
    </row>
    <row r="31" ht="14.25" spans="1:14">
      <c r="A31" s="1" t="s">
        <v>180</v>
      </c>
      <c r="B31" s="3" t="s">
        <v>1135</v>
      </c>
      <c r="C31" s="3" t="s">
        <v>1136</v>
      </c>
      <c r="D31" s="1">
        <v>0.001</v>
      </c>
      <c r="E31" s="3" t="s">
        <v>1137</v>
      </c>
      <c r="F31" s="3" t="s">
        <v>1138</v>
      </c>
      <c r="G31" s="4">
        <v>947</v>
      </c>
      <c r="H31" s="1">
        <v>12</v>
      </c>
      <c r="I31" s="5">
        <v>282.65</v>
      </c>
      <c r="J31">
        <f t="shared" si="0"/>
        <v>0.875747950283634</v>
      </c>
      <c r="K31" s="1">
        <v>50500</v>
      </c>
      <c r="L31" s="1">
        <v>50500</v>
      </c>
      <c r="M31" s="1">
        <v>11</v>
      </c>
      <c r="N31" s="7" t="s">
        <v>1139</v>
      </c>
    </row>
    <row r="32" ht="14.25" spans="1:14">
      <c r="A32" s="1" t="s">
        <v>186</v>
      </c>
      <c r="B32" s="3" t="s">
        <v>62</v>
      </c>
      <c r="C32" s="3" t="s">
        <v>1140</v>
      </c>
      <c r="D32" s="1">
        <v>0.001</v>
      </c>
      <c r="E32" s="3" t="s">
        <v>1141</v>
      </c>
      <c r="F32" s="3" t="s">
        <v>1142</v>
      </c>
      <c r="G32" s="4">
        <v>1462</v>
      </c>
      <c r="H32" s="1">
        <v>15</v>
      </c>
      <c r="I32" s="5">
        <v>292.31</v>
      </c>
      <c r="J32">
        <f t="shared" si="0"/>
        <v>0.869789177348716</v>
      </c>
      <c r="K32" s="1">
        <v>56700</v>
      </c>
      <c r="L32" s="1">
        <v>56700</v>
      </c>
      <c r="M32" s="1">
        <v>9</v>
      </c>
      <c r="N32" s="7" t="s">
        <v>1143</v>
      </c>
    </row>
    <row r="33" ht="14.25" spans="1:14">
      <c r="A33" s="1" t="s">
        <v>191</v>
      </c>
      <c r="B33" s="3" t="s">
        <v>881</v>
      </c>
      <c r="C33" s="3" t="s">
        <v>1005</v>
      </c>
      <c r="D33" s="1">
        <v>0.007</v>
      </c>
      <c r="E33" s="3" t="s">
        <v>1144</v>
      </c>
      <c r="F33" s="3" t="s">
        <v>1145</v>
      </c>
      <c r="G33" s="4">
        <v>3176</v>
      </c>
      <c r="H33" s="1">
        <v>54</v>
      </c>
      <c r="I33" s="5">
        <v>294.34</v>
      </c>
      <c r="J33">
        <f t="shared" si="0"/>
        <v>1.14270332789459</v>
      </c>
      <c r="K33" s="1">
        <v>58800</v>
      </c>
      <c r="L33" s="1">
        <v>58800</v>
      </c>
      <c r="M33" s="1">
        <v>5</v>
      </c>
      <c r="N33" s="7" t="s">
        <v>663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G4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2.0442477876106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1146</v>
      </c>
      <c r="C3" s="3" t="s">
        <v>1147</v>
      </c>
      <c r="D3" s="1">
        <v>0.319</v>
      </c>
      <c r="E3" s="3" t="s">
        <v>1148</v>
      </c>
      <c r="F3" s="3" t="s">
        <v>1149</v>
      </c>
      <c r="G3" s="4">
        <v>15921</v>
      </c>
      <c r="H3" s="1">
        <v>388</v>
      </c>
      <c r="I3" s="5">
        <v>417.88</v>
      </c>
      <c r="J3">
        <f>E3/F3</f>
        <v>2.23086557986829</v>
      </c>
      <c r="K3" s="1">
        <v>216427</v>
      </c>
      <c r="L3" s="1">
        <v>216427</v>
      </c>
      <c r="M3" s="1">
        <v>5126</v>
      </c>
      <c r="N3" s="7" t="s">
        <v>1150</v>
      </c>
    </row>
    <row r="4" ht="14.25" spans="1:14">
      <c r="A4" s="1" t="s">
        <v>24</v>
      </c>
      <c r="B4" s="3" t="s">
        <v>715</v>
      </c>
      <c r="C4" s="3" t="s">
        <v>766</v>
      </c>
      <c r="D4" s="1">
        <v>1.527</v>
      </c>
      <c r="E4" s="3" t="s">
        <v>1151</v>
      </c>
      <c r="F4" s="3" t="s">
        <v>1152</v>
      </c>
      <c r="G4" s="4">
        <v>5742</v>
      </c>
      <c r="H4" s="1">
        <v>59</v>
      </c>
      <c r="I4" s="5">
        <v>361.46</v>
      </c>
      <c r="J4">
        <f t="shared" ref="J4:J33" si="0">E4/F4</f>
        <v>0.878680124407415</v>
      </c>
      <c r="K4" s="1">
        <v>107900</v>
      </c>
      <c r="L4" s="1">
        <v>107900</v>
      </c>
      <c r="M4" s="1">
        <v>2689</v>
      </c>
      <c r="N4" s="7" t="s">
        <v>1153</v>
      </c>
    </row>
    <row r="5" ht="14.25" spans="1:14">
      <c r="A5" s="1" t="s">
        <v>30</v>
      </c>
      <c r="B5" s="3" t="s">
        <v>253</v>
      </c>
      <c r="C5" s="3" t="s">
        <v>1154</v>
      </c>
      <c r="D5" s="1">
        <v>0.019</v>
      </c>
      <c r="E5" s="3" t="s">
        <v>1155</v>
      </c>
      <c r="F5" s="3" t="s">
        <v>1156</v>
      </c>
      <c r="G5" s="4">
        <v>12465</v>
      </c>
      <c r="H5" s="1">
        <v>75</v>
      </c>
      <c r="I5" s="5">
        <v>322.7</v>
      </c>
      <c r="J5">
        <f t="shared" si="0"/>
        <v>1.33478975401451</v>
      </c>
      <c r="K5" s="1">
        <v>49299</v>
      </c>
      <c r="L5" s="1">
        <v>49299</v>
      </c>
      <c r="M5" s="1">
        <v>3985</v>
      </c>
      <c r="N5" s="7" t="s">
        <v>1157</v>
      </c>
    </row>
    <row r="6" ht="14.25" spans="1:14">
      <c r="A6" s="1" t="s">
        <v>36</v>
      </c>
      <c r="B6" s="3" t="s">
        <v>56</v>
      </c>
      <c r="C6" s="3" t="s">
        <v>1158</v>
      </c>
      <c r="D6" s="1">
        <v>0.324</v>
      </c>
      <c r="E6" s="3" t="s">
        <v>1159</v>
      </c>
      <c r="F6" s="3" t="s">
        <v>1160</v>
      </c>
      <c r="G6" s="4">
        <v>6257</v>
      </c>
      <c r="H6" s="1">
        <v>46</v>
      </c>
      <c r="I6" s="5">
        <v>325.73</v>
      </c>
      <c r="J6">
        <f t="shared" si="0"/>
        <v>1.38694194188477</v>
      </c>
      <c r="K6" s="1">
        <v>50220</v>
      </c>
      <c r="L6" s="1">
        <v>50220</v>
      </c>
      <c r="M6" s="1">
        <v>1489</v>
      </c>
      <c r="N6" s="7" t="s">
        <v>610</v>
      </c>
    </row>
    <row r="7" ht="14.25" spans="1:14">
      <c r="A7" s="1" t="s">
        <v>42</v>
      </c>
      <c r="B7" s="3" t="s">
        <v>580</v>
      </c>
      <c r="C7" s="3" t="s">
        <v>1161</v>
      </c>
      <c r="D7" s="1">
        <v>0.01</v>
      </c>
      <c r="E7" s="3" t="s">
        <v>1162</v>
      </c>
      <c r="F7" s="3" t="s">
        <v>1163</v>
      </c>
      <c r="G7" s="4">
        <v>4513</v>
      </c>
      <c r="H7" s="1">
        <v>30</v>
      </c>
      <c r="I7" s="5">
        <v>309.39</v>
      </c>
      <c r="J7">
        <f t="shared" si="0"/>
        <v>1.07454547481014</v>
      </c>
      <c r="K7" s="1">
        <v>68350</v>
      </c>
      <c r="L7" s="1">
        <v>68350</v>
      </c>
      <c r="M7" s="1">
        <v>1356</v>
      </c>
      <c r="N7" s="7" t="s">
        <v>1164</v>
      </c>
    </row>
    <row r="8" ht="14.25" spans="1:14">
      <c r="A8" s="1" t="s">
        <v>48</v>
      </c>
      <c r="B8" s="3" t="s">
        <v>1067</v>
      </c>
      <c r="C8" s="3" t="s">
        <v>840</v>
      </c>
      <c r="D8" s="1">
        <v>0.118</v>
      </c>
      <c r="E8" s="3" t="s">
        <v>1165</v>
      </c>
      <c r="F8" s="3" t="s">
        <v>1166</v>
      </c>
      <c r="G8" s="4">
        <v>4983</v>
      </c>
      <c r="H8" s="1">
        <v>83</v>
      </c>
      <c r="I8" s="5">
        <v>326.29</v>
      </c>
      <c r="J8">
        <f t="shared" si="0"/>
        <v>1.30222758528223</v>
      </c>
      <c r="K8" s="1">
        <v>57733</v>
      </c>
      <c r="L8" s="1">
        <v>57733</v>
      </c>
      <c r="M8" s="1">
        <v>698</v>
      </c>
      <c r="N8" s="7" t="s">
        <v>1167</v>
      </c>
    </row>
    <row r="9" ht="14.25" spans="1:14">
      <c r="A9" s="1" t="s">
        <v>54</v>
      </c>
      <c r="B9" s="3" t="s">
        <v>97</v>
      </c>
      <c r="C9" s="3" t="s">
        <v>1059</v>
      </c>
      <c r="D9" s="1">
        <v>0.108</v>
      </c>
      <c r="E9" s="3" t="s">
        <v>1168</v>
      </c>
      <c r="F9" s="3" t="s">
        <v>1169</v>
      </c>
      <c r="G9" s="4">
        <v>4836</v>
      </c>
      <c r="H9" s="1">
        <v>49</v>
      </c>
      <c r="I9" s="5">
        <v>308.26</v>
      </c>
      <c r="J9">
        <f t="shared" si="0"/>
        <v>1.19759044617623</v>
      </c>
      <c r="K9" s="1">
        <v>44056</v>
      </c>
      <c r="L9" s="1">
        <v>44056</v>
      </c>
      <c r="M9" s="1">
        <v>568</v>
      </c>
      <c r="N9" s="7" t="s">
        <v>1170</v>
      </c>
    </row>
    <row r="10" ht="14.25" spans="1:14">
      <c r="A10" s="1" t="s">
        <v>60</v>
      </c>
      <c r="B10" s="3" t="s">
        <v>56</v>
      </c>
      <c r="C10" s="3" t="s">
        <v>1171</v>
      </c>
      <c r="D10" s="1">
        <v>0.01</v>
      </c>
      <c r="E10" s="3" t="s">
        <v>1172</v>
      </c>
      <c r="F10" s="3" t="s">
        <v>1173</v>
      </c>
      <c r="G10" s="4">
        <v>4125</v>
      </c>
      <c r="H10" s="1">
        <v>40</v>
      </c>
      <c r="I10" s="5">
        <v>306.08</v>
      </c>
      <c r="J10">
        <f t="shared" si="0"/>
        <v>1.39957229953201</v>
      </c>
      <c r="K10" s="1">
        <v>36424</v>
      </c>
      <c r="L10" s="1">
        <v>36424</v>
      </c>
      <c r="M10" s="1">
        <v>475</v>
      </c>
      <c r="N10" s="7" t="s">
        <v>1174</v>
      </c>
    </row>
    <row r="11" ht="14.25" spans="1:14">
      <c r="A11" s="1" t="s">
        <v>66</v>
      </c>
      <c r="B11" s="3" t="s">
        <v>1146</v>
      </c>
      <c r="C11" s="3" t="s">
        <v>766</v>
      </c>
      <c r="D11" s="1">
        <v>1.747</v>
      </c>
      <c r="E11" s="3" t="s">
        <v>1175</v>
      </c>
      <c r="F11" s="3" t="s">
        <v>1176</v>
      </c>
      <c r="G11" s="4">
        <v>12543</v>
      </c>
      <c r="H11" s="1">
        <v>372</v>
      </c>
      <c r="I11" s="5">
        <v>431.93</v>
      </c>
      <c r="J11">
        <f t="shared" si="0"/>
        <v>1.84144024127678</v>
      </c>
      <c r="K11" s="1">
        <v>175681</v>
      </c>
      <c r="L11" s="1">
        <v>175681</v>
      </c>
      <c r="M11" s="1">
        <v>402</v>
      </c>
      <c r="N11" s="7" t="s">
        <v>1177</v>
      </c>
    </row>
    <row r="12" ht="14.25" spans="1:14">
      <c r="A12" s="1" t="s">
        <v>72</v>
      </c>
      <c r="B12" s="3" t="s">
        <v>562</v>
      </c>
      <c r="C12" s="3" t="s">
        <v>1178</v>
      </c>
      <c r="D12" s="1">
        <v>0.837</v>
      </c>
      <c r="E12" s="3" t="s">
        <v>1179</v>
      </c>
      <c r="F12" s="3" t="s">
        <v>1180</v>
      </c>
      <c r="G12" s="4">
        <v>33611</v>
      </c>
      <c r="H12" s="1">
        <v>498</v>
      </c>
      <c r="I12" s="5">
        <v>381.61</v>
      </c>
      <c r="J12">
        <f t="shared" si="0"/>
        <v>1.13667759672566</v>
      </c>
      <c r="K12" s="1">
        <v>126792</v>
      </c>
      <c r="L12" s="1">
        <v>126792</v>
      </c>
      <c r="M12" s="1">
        <v>423</v>
      </c>
      <c r="N12" s="7" t="s">
        <v>1181</v>
      </c>
    </row>
    <row r="13" ht="14.25" spans="1:14">
      <c r="A13" s="1" t="s">
        <v>78</v>
      </c>
      <c r="B13" s="3" t="s">
        <v>108</v>
      </c>
      <c r="C13" s="3" t="s">
        <v>948</v>
      </c>
      <c r="D13" s="1">
        <v>0.191</v>
      </c>
      <c r="E13" s="3" t="s">
        <v>1182</v>
      </c>
      <c r="F13" s="3" t="s">
        <v>1183</v>
      </c>
      <c r="G13" s="4">
        <v>32155</v>
      </c>
      <c r="H13" s="1">
        <v>476</v>
      </c>
      <c r="I13" s="5">
        <v>406.88</v>
      </c>
      <c r="J13">
        <f t="shared" si="0"/>
        <v>1.06003676572988</v>
      </c>
      <c r="K13" s="1">
        <v>120152</v>
      </c>
      <c r="L13" s="1">
        <v>120152</v>
      </c>
      <c r="M13" s="1">
        <v>435</v>
      </c>
      <c r="N13" s="7" t="s">
        <v>1184</v>
      </c>
    </row>
    <row r="14" ht="14.25" spans="1:14">
      <c r="A14" s="1" t="s">
        <v>84</v>
      </c>
      <c r="B14" s="3" t="s">
        <v>345</v>
      </c>
      <c r="C14" s="3" t="s">
        <v>1077</v>
      </c>
      <c r="D14" s="1">
        <v>0.176</v>
      </c>
      <c r="E14" s="3" t="s">
        <v>1185</v>
      </c>
      <c r="F14" s="3" t="s">
        <v>1186</v>
      </c>
      <c r="G14" s="4">
        <v>11902</v>
      </c>
      <c r="H14" s="1">
        <v>135</v>
      </c>
      <c r="I14" s="5">
        <v>350.16</v>
      </c>
      <c r="J14">
        <f t="shared" si="0"/>
        <v>1.16006474440177</v>
      </c>
      <c r="K14" s="1">
        <v>63370</v>
      </c>
      <c r="L14" s="1">
        <v>63370</v>
      </c>
      <c r="M14" s="1">
        <v>321</v>
      </c>
      <c r="N14" s="7" t="s">
        <v>1187</v>
      </c>
    </row>
    <row r="15" ht="14.25" spans="1:14">
      <c r="A15" s="1" t="s">
        <v>89</v>
      </c>
      <c r="B15" s="3" t="s">
        <v>218</v>
      </c>
      <c r="C15" s="3" t="s">
        <v>1188</v>
      </c>
      <c r="D15" s="1">
        <v>0.289</v>
      </c>
      <c r="E15" s="3" t="s">
        <v>1189</v>
      </c>
      <c r="F15" s="3" t="s">
        <v>1190</v>
      </c>
      <c r="G15" s="4">
        <v>11026</v>
      </c>
      <c r="H15" s="1">
        <v>146</v>
      </c>
      <c r="I15" s="5">
        <v>380.13</v>
      </c>
      <c r="J15">
        <f t="shared" si="0"/>
        <v>0.941985303625179</v>
      </c>
      <c r="K15" s="1">
        <v>116141</v>
      </c>
      <c r="L15" s="1">
        <v>116141</v>
      </c>
      <c r="M15" s="1">
        <v>278</v>
      </c>
      <c r="N15" s="7" t="s">
        <v>927</v>
      </c>
    </row>
    <row r="16" ht="14.25" spans="1:14">
      <c r="A16" s="1" t="s">
        <v>95</v>
      </c>
      <c r="B16" s="3" t="s">
        <v>817</v>
      </c>
      <c r="C16" s="3" t="s">
        <v>1191</v>
      </c>
      <c r="D16" s="1">
        <v>0.352</v>
      </c>
      <c r="E16" s="3" t="s">
        <v>1192</v>
      </c>
      <c r="F16" s="3" t="s">
        <v>1193</v>
      </c>
      <c r="G16" s="4">
        <v>8439</v>
      </c>
      <c r="H16" s="1">
        <v>63</v>
      </c>
      <c r="I16" s="5">
        <v>340.61</v>
      </c>
      <c r="J16">
        <f t="shared" si="0"/>
        <v>1.05388466366034</v>
      </c>
      <c r="K16" s="1">
        <v>55047</v>
      </c>
      <c r="L16" s="1">
        <v>55047</v>
      </c>
      <c r="M16" s="1">
        <v>315</v>
      </c>
      <c r="N16" s="7" t="s">
        <v>1194</v>
      </c>
    </row>
    <row r="17" ht="14.25" spans="1:14">
      <c r="A17" s="1" t="s">
        <v>101</v>
      </c>
      <c r="B17" s="3" t="s">
        <v>497</v>
      </c>
      <c r="C17" s="3" t="s">
        <v>1005</v>
      </c>
      <c r="D17" s="1">
        <v>0.216</v>
      </c>
      <c r="E17" s="3" t="s">
        <v>1195</v>
      </c>
      <c r="F17" s="3" t="s">
        <v>1196</v>
      </c>
      <c r="G17" s="4">
        <v>21195</v>
      </c>
      <c r="H17" s="1">
        <v>246</v>
      </c>
      <c r="I17" s="5">
        <v>347.81</v>
      </c>
      <c r="J17">
        <f t="shared" si="0"/>
        <v>1.20911980608208</v>
      </c>
      <c r="K17" s="1">
        <v>72967</v>
      </c>
      <c r="L17" s="1">
        <v>72967</v>
      </c>
      <c r="M17" s="1">
        <v>245</v>
      </c>
      <c r="N17" s="7" t="s">
        <v>1197</v>
      </c>
    </row>
    <row r="18" ht="14.25" spans="1:14">
      <c r="A18" s="1" t="s">
        <v>107</v>
      </c>
      <c r="B18" s="3" t="s">
        <v>715</v>
      </c>
      <c r="C18" s="3" t="s">
        <v>1086</v>
      </c>
      <c r="D18" s="1">
        <v>0.371</v>
      </c>
      <c r="E18" s="3" t="s">
        <v>1198</v>
      </c>
      <c r="F18" s="3" t="s">
        <v>1199</v>
      </c>
      <c r="G18" s="4">
        <v>14107</v>
      </c>
      <c r="H18" s="1">
        <v>93</v>
      </c>
      <c r="I18" s="5">
        <v>340.81</v>
      </c>
      <c r="J18">
        <f t="shared" si="0"/>
        <v>1.20958212717109</v>
      </c>
      <c r="K18" s="1">
        <v>57171</v>
      </c>
      <c r="L18" s="1">
        <v>57171</v>
      </c>
      <c r="M18" s="1">
        <v>156</v>
      </c>
      <c r="N18" s="7" t="s">
        <v>1200</v>
      </c>
    </row>
    <row r="19" ht="14.25" spans="1:14">
      <c r="A19" s="1" t="s">
        <v>113</v>
      </c>
      <c r="B19" s="3" t="s">
        <v>56</v>
      </c>
      <c r="C19" s="3" t="s">
        <v>1161</v>
      </c>
      <c r="D19" s="1">
        <v>0.209</v>
      </c>
      <c r="E19" s="3" t="s">
        <v>1201</v>
      </c>
      <c r="F19" s="3" t="s">
        <v>1202</v>
      </c>
      <c r="G19" s="4">
        <v>12320</v>
      </c>
      <c r="H19" s="1">
        <v>132</v>
      </c>
      <c r="I19" s="5">
        <v>358.64</v>
      </c>
      <c r="J19">
        <f t="shared" si="0"/>
        <v>1.1217125564098</v>
      </c>
      <c r="K19" s="1">
        <v>73297</v>
      </c>
      <c r="L19" s="1">
        <v>73297</v>
      </c>
      <c r="M19" s="1">
        <v>208</v>
      </c>
      <c r="N19" s="7" t="s">
        <v>1203</v>
      </c>
    </row>
    <row r="20" ht="14.25" spans="1:14">
      <c r="A20" s="1" t="s">
        <v>119</v>
      </c>
      <c r="B20" s="3" t="s">
        <v>147</v>
      </c>
      <c r="C20" s="3" t="s">
        <v>1204</v>
      </c>
      <c r="D20" s="1">
        <v>0.242</v>
      </c>
      <c r="E20" s="3" t="s">
        <v>1205</v>
      </c>
      <c r="F20" s="3" t="s">
        <v>1206</v>
      </c>
      <c r="G20" s="4">
        <v>11574</v>
      </c>
      <c r="H20" s="1">
        <v>124</v>
      </c>
      <c r="I20" s="5">
        <v>332.03</v>
      </c>
      <c r="J20">
        <f t="shared" si="0"/>
        <v>1.14727885098046</v>
      </c>
      <c r="K20" s="1">
        <v>61500</v>
      </c>
      <c r="L20" s="1">
        <v>61500</v>
      </c>
      <c r="M20" s="1">
        <v>165</v>
      </c>
      <c r="N20" s="7" t="s">
        <v>1207</v>
      </c>
    </row>
    <row r="21" ht="14.25" spans="1:14">
      <c r="A21" s="1" t="s">
        <v>125</v>
      </c>
      <c r="B21" s="3" t="s">
        <v>817</v>
      </c>
      <c r="C21" s="3" t="s">
        <v>20</v>
      </c>
      <c r="D21" s="1">
        <v>0.459</v>
      </c>
      <c r="E21" s="3" t="s">
        <v>1208</v>
      </c>
      <c r="F21" s="3" t="s">
        <v>1209</v>
      </c>
      <c r="G21" s="4">
        <v>40692</v>
      </c>
      <c r="H21" s="1">
        <v>684</v>
      </c>
      <c r="I21" s="5">
        <v>379.53</v>
      </c>
      <c r="J21">
        <f t="shared" si="0"/>
        <v>1.36773002865588</v>
      </c>
      <c r="K21" s="1">
        <v>103300</v>
      </c>
      <c r="L21" s="1">
        <v>103300</v>
      </c>
      <c r="M21" s="1">
        <v>98</v>
      </c>
      <c r="N21" s="7" t="s">
        <v>1210</v>
      </c>
    </row>
    <row r="22" ht="14.25" spans="1:14">
      <c r="A22" s="1" t="s">
        <v>130</v>
      </c>
      <c r="B22" s="3" t="s">
        <v>562</v>
      </c>
      <c r="C22" s="3" t="s">
        <v>109</v>
      </c>
      <c r="D22" s="1">
        <v>0.474</v>
      </c>
      <c r="E22" s="3" t="s">
        <v>1211</v>
      </c>
      <c r="F22" s="3" t="s">
        <v>1212</v>
      </c>
      <c r="G22" s="4">
        <v>7986</v>
      </c>
      <c r="H22" s="1">
        <v>43</v>
      </c>
      <c r="I22" s="5">
        <v>325.17</v>
      </c>
      <c r="J22">
        <f t="shared" si="0"/>
        <v>0.984907137785655</v>
      </c>
      <c r="K22" s="1">
        <v>44279</v>
      </c>
      <c r="L22" s="1">
        <v>44279</v>
      </c>
      <c r="M22" s="1">
        <v>86</v>
      </c>
      <c r="N22" s="7" t="s">
        <v>750</v>
      </c>
    </row>
    <row r="23" ht="14.25" spans="1:14">
      <c r="A23" s="1" t="s">
        <v>135</v>
      </c>
      <c r="B23" s="3" t="s">
        <v>1213</v>
      </c>
      <c r="C23" s="3" t="s">
        <v>1214</v>
      </c>
      <c r="D23" s="1">
        <v>0.207</v>
      </c>
      <c r="E23" s="3" t="s">
        <v>1215</v>
      </c>
      <c r="F23" s="3" t="s">
        <v>1216</v>
      </c>
      <c r="G23" s="4">
        <v>3156</v>
      </c>
      <c r="H23" s="1">
        <v>34</v>
      </c>
      <c r="I23" s="5">
        <v>344.05</v>
      </c>
      <c r="J23">
        <f t="shared" si="0"/>
        <v>1.0331335681626</v>
      </c>
      <c r="K23" s="1">
        <v>60100</v>
      </c>
      <c r="L23" s="1">
        <v>60100</v>
      </c>
      <c r="M23" s="1">
        <v>75</v>
      </c>
      <c r="N23" s="7" t="s">
        <v>1217</v>
      </c>
    </row>
    <row r="24" ht="14.25" spans="1:14">
      <c r="A24" s="1" t="s">
        <v>141</v>
      </c>
      <c r="B24" s="3" t="s">
        <v>345</v>
      </c>
      <c r="C24" s="3" t="s">
        <v>1218</v>
      </c>
      <c r="D24" s="1">
        <v>0.884</v>
      </c>
      <c r="E24" s="3" t="s">
        <v>1219</v>
      </c>
      <c r="F24" s="3" t="s">
        <v>1220</v>
      </c>
      <c r="G24" s="4">
        <v>9871</v>
      </c>
      <c r="H24" s="1">
        <v>66</v>
      </c>
      <c r="I24" s="5">
        <v>344.76</v>
      </c>
      <c r="J24">
        <f t="shared" si="0"/>
        <v>1.02255845417083</v>
      </c>
      <c r="K24" s="1">
        <v>83700</v>
      </c>
      <c r="L24" s="1">
        <v>83700</v>
      </c>
      <c r="M24" s="1">
        <v>58</v>
      </c>
      <c r="N24" s="7" t="s">
        <v>1221</v>
      </c>
    </row>
    <row r="25" ht="14.25" spans="1:14">
      <c r="A25" s="1" t="s">
        <v>146</v>
      </c>
      <c r="B25" s="3" t="s">
        <v>131</v>
      </c>
      <c r="C25" s="3" t="s">
        <v>1222</v>
      </c>
      <c r="D25" s="1">
        <v>0.449</v>
      </c>
      <c r="E25" s="3" t="s">
        <v>1223</v>
      </c>
      <c r="F25" s="3" t="s">
        <v>1224</v>
      </c>
      <c r="G25" s="4">
        <v>16034</v>
      </c>
      <c r="H25" s="1">
        <v>146</v>
      </c>
      <c r="I25" s="5">
        <v>334.82</v>
      </c>
      <c r="J25">
        <f t="shared" si="0"/>
        <v>1.29298852434158</v>
      </c>
      <c r="K25" s="1">
        <v>57800</v>
      </c>
      <c r="L25" s="1">
        <v>57800</v>
      </c>
      <c r="M25" s="1">
        <v>42</v>
      </c>
      <c r="N25" s="7" t="s">
        <v>1225</v>
      </c>
    </row>
    <row r="26" ht="14.25" spans="1:14">
      <c r="A26" s="1" t="s">
        <v>152</v>
      </c>
      <c r="B26" s="3" t="s">
        <v>345</v>
      </c>
      <c r="C26" s="3" t="s">
        <v>439</v>
      </c>
      <c r="D26" s="1">
        <v>0.065</v>
      </c>
      <c r="E26" s="3" t="s">
        <v>1226</v>
      </c>
      <c r="F26" s="3" t="s">
        <v>1227</v>
      </c>
      <c r="G26" s="4">
        <v>7034</v>
      </c>
      <c r="H26" s="1">
        <v>31</v>
      </c>
      <c r="I26" s="5">
        <v>307.94</v>
      </c>
      <c r="J26">
        <f t="shared" si="0"/>
        <v>0.876940943430166</v>
      </c>
      <c r="K26" s="1">
        <v>48000</v>
      </c>
      <c r="L26" s="1">
        <v>48000</v>
      </c>
      <c r="M26" s="1">
        <v>45</v>
      </c>
      <c r="N26" s="7" t="s">
        <v>1228</v>
      </c>
    </row>
    <row r="27" ht="14.25" spans="1:14">
      <c r="A27" s="1" t="s">
        <v>158</v>
      </c>
      <c r="B27" s="3" t="s">
        <v>466</v>
      </c>
      <c r="C27" s="3" t="s">
        <v>1229</v>
      </c>
      <c r="D27" s="1">
        <v>0.056</v>
      </c>
      <c r="E27" s="3" t="s">
        <v>1230</v>
      </c>
      <c r="F27" s="3" t="s">
        <v>1231</v>
      </c>
      <c r="G27" s="4">
        <v>7215</v>
      </c>
      <c r="H27" s="1">
        <v>39</v>
      </c>
      <c r="I27" s="5">
        <v>318.48</v>
      </c>
      <c r="J27">
        <f t="shared" si="0"/>
        <v>1.01713878320488</v>
      </c>
      <c r="K27" s="1">
        <v>50300</v>
      </c>
      <c r="L27" s="1">
        <v>50300</v>
      </c>
      <c r="M27" s="1">
        <v>42</v>
      </c>
      <c r="N27" s="7" t="s">
        <v>1232</v>
      </c>
    </row>
    <row r="28" ht="14.25" spans="1:14">
      <c r="A28" s="1" t="s">
        <v>164</v>
      </c>
      <c r="B28" s="3" t="s">
        <v>821</v>
      </c>
      <c r="C28" s="3" t="s">
        <v>295</v>
      </c>
      <c r="D28" s="1">
        <v>0.003</v>
      </c>
      <c r="E28" s="3" t="s">
        <v>1233</v>
      </c>
      <c r="F28" s="3" t="s">
        <v>1234</v>
      </c>
      <c r="G28" s="4">
        <v>894</v>
      </c>
      <c r="H28" s="1">
        <v>18</v>
      </c>
      <c r="I28" s="5">
        <v>310.53</v>
      </c>
      <c r="J28">
        <f t="shared" si="0"/>
        <v>1.09408544125687</v>
      </c>
      <c r="K28" s="1">
        <v>58000</v>
      </c>
      <c r="L28" s="1">
        <v>58000</v>
      </c>
      <c r="M28" s="1">
        <v>29</v>
      </c>
      <c r="N28" s="7" t="s">
        <v>1235</v>
      </c>
    </row>
    <row r="29" ht="14.25" spans="1:14">
      <c r="A29" s="1" t="s">
        <v>170</v>
      </c>
      <c r="B29" s="3" t="s">
        <v>817</v>
      </c>
      <c r="C29" s="3" t="s">
        <v>657</v>
      </c>
      <c r="D29" s="1">
        <v>0.113</v>
      </c>
      <c r="E29" s="3" t="s">
        <v>1236</v>
      </c>
      <c r="F29" s="3" t="s">
        <v>1237</v>
      </c>
      <c r="G29" s="4">
        <v>8972</v>
      </c>
      <c r="H29" s="1">
        <v>59</v>
      </c>
      <c r="I29" s="5">
        <v>342.04</v>
      </c>
      <c r="J29">
        <f t="shared" si="0"/>
        <v>1.26190311529064</v>
      </c>
      <c r="K29" s="1">
        <v>67500</v>
      </c>
      <c r="L29" s="1">
        <v>67500</v>
      </c>
      <c r="M29" s="1">
        <v>31</v>
      </c>
      <c r="N29" s="7" t="s">
        <v>936</v>
      </c>
    </row>
    <row r="30" ht="14.25" spans="1:14">
      <c r="A30" s="1" t="s">
        <v>175</v>
      </c>
      <c r="B30" s="3" t="s">
        <v>1238</v>
      </c>
      <c r="C30" s="3" t="s">
        <v>1239</v>
      </c>
      <c r="D30" s="1">
        <v>0.043</v>
      </c>
      <c r="E30" s="3" t="s">
        <v>1240</v>
      </c>
      <c r="F30" s="3" t="s">
        <v>1241</v>
      </c>
      <c r="G30" s="4">
        <v>4027</v>
      </c>
      <c r="H30" s="1">
        <v>30</v>
      </c>
      <c r="I30" s="5">
        <v>305.5</v>
      </c>
      <c r="J30">
        <f t="shared" si="0"/>
        <v>0.947347876139301</v>
      </c>
      <c r="K30" s="1">
        <v>33900</v>
      </c>
      <c r="L30" s="1">
        <v>33900</v>
      </c>
      <c r="M30" s="1">
        <v>30</v>
      </c>
      <c r="N30" s="7" t="s">
        <v>1242</v>
      </c>
    </row>
    <row r="31" ht="14.25" spans="1:14">
      <c r="A31" s="1" t="s">
        <v>180</v>
      </c>
      <c r="B31" s="3" t="s">
        <v>948</v>
      </c>
      <c r="C31" s="3" t="s">
        <v>524</v>
      </c>
      <c r="D31" s="1">
        <v>0</v>
      </c>
      <c r="E31" s="3" t="s">
        <v>1243</v>
      </c>
      <c r="F31" s="3" t="s">
        <v>1244</v>
      </c>
      <c r="G31" s="4">
        <v>1325</v>
      </c>
      <c r="H31" s="1">
        <v>12</v>
      </c>
      <c r="I31" s="5">
        <v>298.23</v>
      </c>
      <c r="J31">
        <f t="shared" si="0"/>
        <v>0.95366311929266</v>
      </c>
      <c r="K31" s="1">
        <v>50800</v>
      </c>
      <c r="L31" s="1">
        <v>50800</v>
      </c>
      <c r="M31" s="1">
        <v>15</v>
      </c>
      <c r="N31" s="7" t="s">
        <v>1245</v>
      </c>
    </row>
    <row r="32" ht="14.25" spans="1:14">
      <c r="A32" s="1" t="s">
        <v>186</v>
      </c>
      <c r="B32" s="3" t="s">
        <v>866</v>
      </c>
      <c r="C32" s="3" t="s">
        <v>1246</v>
      </c>
      <c r="D32" s="1">
        <v>0.003</v>
      </c>
      <c r="E32" s="3" t="s">
        <v>1247</v>
      </c>
      <c r="F32" s="3" t="s">
        <v>1248</v>
      </c>
      <c r="G32" s="4">
        <v>2073</v>
      </c>
      <c r="H32" s="1">
        <v>15</v>
      </c>
      <c r="I32" s="5">
        <v>310.02</v>
      </c>
      <c r="J32">
        <f t="shared" si="0"/>
        <v>0.894056154760727</v>
      </c>
      <c r="K32" s="1">
        <v>59200</v>
      </c>
      <c r="L32" s="1">
        <v>59200</v>
      </c>
      <c r="M32" s="1">
        <v>12</v>
      </c>
      <c r="N32" s="7" t="s">
        <v>1249</v>
      </c>
    </row>
    <row r="33" ht="14.25" spans="1:14">
      <c r="A33" s="1" t="s">
        <v>191</v>
      </c>
      <c r="B33" s="3" t="s">
        <v>817</v>
      </c>
      <c r="C33" s="3" t="s">
        <v>1250</v>
      </c>
      <c r="D33" s="1">
        <v>0.011</v>
      </c>
      <c r="E33" s="3" t="s">
        <v>1251</v>
      </c>
      <c r="F33" s="3" t="s">
        <v>1252</v>
      </c>
      <c r="G33" s="4">
        <v>4482</v>
      </c>
      <c r="H33" s="1">
        <v>57</v>
      </c>
      <c r="I33" s="5">
        <v>308.35</v>
      </c>
      <c r="J33">
        <f t="shared" si="0"/>
        <v>1.08989807398378</v>
      </c>
      <c r="K33" s="1">
        <v>59600</v>
      </c>
      <c r="L33" s="1">
        <v>59600</v>
      </c>
      <c r="M33" s="1">
        <v>7</v>
      </c>
      <c r="N33" s="7" t="s">
        <v>790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G1" workbookViewId="0">
      <selection activeCell="N3" sqref="N3:N33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7.0884955752212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108</v>
      </c>
      <c r="C3" s="3" t="s">
        <v>1253</v>
      </c>
      <c r="D3" s="1">
        <v>0.347</v>
      </c>
      <c r="E3" s="3" t="s">
        <v>1254</v>
      </c>
      <c r="F3" s="3" t="s">
        <v>1255</v>
      </c>
      <c r="G3" s="4">
        <v>17535</v>
      </c>
      <c r="H3" s="1">
        <v>424</v>
      </c>
      <c r="I3" s="5">
        <v>445.44</v>
      </c>
      <c r="J3">
        <f>E3/F3</f>
        <v>2.24345719391371</v>
      </c>
      <c r="K3" s="1">
        <v>240628</v>
      </c>
      <c r="L3" s="1">
        <v>240628</v>
      </c>
      <c r="M3" s="1">
        <v>6235</v>
      </c>
      <c r="N3" s="7" t="s">
        <v>1256</v>
      </c>
    </row>
    <row r="4" ht="14.25" spans="1:14">
      <c r="A4" s="1" t="s">
        <v>24</v>
      </c>
      <c r="B4" s="3" t="s">
        <v>227</v>
      </c>
      <c r="C4" s="3" t="s">
        <v>1067</v>
      </c>
      <c r="D4" s="1">
        <v>1.178</v>
      </c>
      <c r="E4" s="3" t="s">
        <v>1257</v>
      </c>
      <c r="F4" s="3" t="s">
        <v>1258</v>
      </c>
      <c r="G4" s="4">
        <v>6015</v>
      </c>
      <c r="H4" s="1">
        <v>63</v>
      </c>
      <c r="I4" s="5">
        <v>395.73</v>
      </c>
      <c r="J4">
        <f t="shared" ref="J4:J33" si="0">E4/F4</f>
        <v>0.874529676278926</v>
      </c>
      <c r="K4" s="1">
        <v>119167</v>
      </c>
      <c r="L4" s="1">
        <v>119167</v>
      </c>
      <c r="M4" s="1">
        <v>3215</v>
      </c>
      <c r="N4" s="7" t="s">
        <v>1259</v>
      </c>
    </row>
    <row r="5" ht="14.25" spans="1:14">
      <c r="A5" s="1" t="s">
        <v>30</v>
      </c>
      <c r="B5" s="3" t="s">
        <v>253</v>
      </c>
      <c r="C5" s="3" t="s">
        <v>1250</v>
      </c>
      <c r="D5" s="1">
        <v>0.03</v>
      </c>
      <c r="E5" s="3" t="s">
        <v>1260</v>
      </c>
      <c r="F5" s="3" t="s">
        <v>1261</v>
      </c>
      <c r="G5" s="4">
        <v>13012</v>
      </c>
      <c r="H5" s="1">
        <v>82</v>
      </c>
      <c r="I5" s="5">
        <v>352.44</v>
      </c>
      <c r="J5">
        <f t="shared" si="0"/>
        <v>1.30982747022046</v>
      </c>
      <c r="K5" s="1">
        <v>54990</v>
      </c>
      <c r="L5" s="1">
        <v>54990</v>
      </c>
      <c r="M5" s="1">
        <v>4869</v>
      </c>
      <c r="N5" s="7" t="s">
        <v>1262</v>
      </c>
    </row>
    <row r="6" ht="14.25" spans="1:14">
      <c r="A6" s="1" t="s">
        <v>36</v>
      </c>
      <c r="B6" s="3" t="s">
        <v>26</v>
      </c>
      <c r="C6" s="3" t="s">
        <v>1263</v>
      </c>
      <c r="D6" s="1">
        <v>0.284</v>
      </c>
      <c r="E6" s="3" t="s">
        <v>1264</v>
      </c>
      <c r="F6" s="3" t="s">
        <v>1265</v>
      </c>
      <c r="G6" s="4">
        <v>6589</v>
      </c>
      <c r="H6" s="1">
        <v>49</v>
      </c>
      <c r="I6" s="5">
        <v>359.7</v>
      </c>
      <c r="J6">
        <f t="shared" si="0"/>
        <v>1.36823050776124</v>
      </c>
      <c r="K6" s="1">
        <v>64820</v>
      </c>
      <c r="L6" s="1">
        <v>64820</v>
      </c>
      <c r="M6" s="1">
        <v>1865</v>
      </c>
      <c r="N6" s="7" t="s">
        <v>729</v>
      </c>
    </row>
    <row r="7" ht="14.25" spans="1:14">
      <c r="A7" s="1" t="s">
        <v>42</v>
      </c>
      <c r="B7" s="3" t="s">
        <v>417</v>
      </c>
      <c r="C7" s="3" t="s">
        <v>1266</v>
      </c>
      <c r="D7" s="1">
        <v>0.012</v>
      </c>
      <c r="E7" s="3" t="s">
        <v>1267</v>
      </c>
      <c r="F7" s="3" t="s">
        <v>1268</v>
      </c>
      <c r="G7" s="4">
        <v>4207</v>
      </c>
      <c r="H7" s="1">
        <v>31</v>
      </c>
      <c r="I7" s="5">
        <v>344.76</v>
      </c>
      <c r="J7">
        <f t="shared" si="0"/>
        <v>1.10509825930159</v>
      </c>
      <c r="K7" s="1">
        <v>81587</v>
      </c>
      <c r="L7" s="1">
        <v>81587</v>
      </c>
      <c r="M7" s="1">
        <v>1689</v>
      </c>
      <c r="N7" s="7" t="s">
        <v>1269</v>
      </c>
    </row>
    <row r="8" ht="14.25" spans="1:14">
      <c r="A8" s="1" t="s">
        <v>48</v>
      </c>
      <c r="B8" s="3" t="s">
        <v>20</v>
      </c>
      <c r="C8" s="3" t="s">
        <v>941</v>
      </c>
      <c r="D8" s="1">
        <v>0.119</v>
      </c>
      <c r="E8" s="3" t="s">
        <v>1270</v>
      </c>
      <c r="F8" s="3" t="s">
        <v>1271</v>
      </c>
      <c r="G8" s="4">
        <v>-1024</v>
      </c>
      <c r="H8" s="1">
        <v>85</v>
      </c>
      <c r="I8" s="5">
        <v>357.23</v>
      </c>
      <c r="J8">
        <f t="shared" si="0"/>
        <v>1.31731934626648</v>
      </c>
      <c r="K8" s="1">
        <v>63370</v>
      </c>
      <c r="L8" s="1">
        <v>63370</v>
      </c>
      <c r="M8" s="1">
        <v>865</v>
      </c>
      <c r="N8" s="7" t="s">
        <v>1272</v>
      </c>
    </row>
    <row r="9" ht="14.25" spans="1:14">
      <c r="A9" s="1" t="s">
        <v>54</v>
      </c>
      <c r="B9" s="3" t="s">
        <v>536</v>
      </c>
      <c r="C9" s="3" t="s">
        <v>1059</v>
      </c>
      <c r="D9" s="1">
        <v>0.116</v>
      </c>
      <c r="E9" s="3" t="s">
        <v>1273</v>
      </c>
      <c r="F9" s="3" t="s">
        <v>1274</v>
      </c>
      <c r="G9" s="4">
        <v>4527</v>
      </c>
      <c r="H9" s="1">
        <v>50</v>
      </c>
      <c r="I9" s="5">
        <v>339.41</v>
      </c>
      <c r="J9">
        <f t="shared" si="0"/>
        <v>1.20262228548511</v>
      </c>
      <c r="K9" s="1">
        <v>47518</v>
      </c>
      <c r="L9" s="1">
        <v>47518</v>
      </c>
      <c r="M9" s="1">
        <v>698</v>
      </c>
      <c r="N9" s="7" t="s">
        <v>1275</v>
      </c>
    </row>
    <row r="10" ht="14.25" spans="1:14">
      <c r="A10" s="1" t="s">
        <v>60</v>
      </c>
      <c r="B10" s="3" t="s">
        <v>97</v>
      </c>
      <c r="C10" s="3" t="s">
        <v>1276</v>
      </c>
      <c r="D10" s="1">
        <v>0.006</v>
      </c>
      <c r="E10" s="3" t="s">
        <v>1277</v>
      </c>
      <c r="F10" s="3" t="s">
        <v>1278</v>
      </c>
      <c r="G10" s="4">
        <v>3862</v>
      </c>
      <c r="H10" s="1">
        <v>41</v>
      </c>
      <c r="I10" s="5">
        <v>341.14</v>
      </c>
      <c r="J10">
        <f t="shared" si="0"/>
        <v>1.40600585837481</v>
      </c>
      <c r="K10" s="1">
        <v>39462</v>
      </c>
      <c r="L10" s="1">
        <v>39462</v>
      </c>
      <c r="M10" s="1">
        <v>589</v>
      </c>
      <c r="N10" s="7" t="s">
        <v>1279</v>
      </c>
    </row>
    <row r="11" ht="14.25" spans="1:14">
      <c r="A11" s="1" t="s">
        <v>66</v>
      </c>
      <c r="B11" s="3" t="s">
        <v>1146</v>
      </c>
      <c r="C11" s="3" t="s">
        <v>1280</v>
      </c>
      <c r="D11" s="1">
        <v>1.675</v>
      </c>
      <c r="E11" s="3" t="s">
        <v>1281</v>
      </c>
      <c r="F11" s="3" t="s">
        <v>1282</v>
      </c>
      <c r="G11" s="4">
        <v>13421</v>
      </c>
      <c r="H11" s="1">
        <v>395</v>
      </c>
      <c r="I11" s="5">
        <v>458.97</v>
      </c>
      <c r="J11">
        <f t="shared" si="0"/>
        <v>1.83096095025696</v>
      </c>
      <c r="K11" s="1">
        <v>194172</v>
      </c>
      <c r="L11" s="1">
        <v>194172</v>
      </c>
      <c r="M11" s="1">
        <v>498</v>
      </c>
      <c r="N11" s="7" t="s">
        <v>1283</v>
      </c>
    </row>
    <row r="12" ht="14.25" spans="1:14">
      <c r="A12" s="1" t="s">
        <v>72</v>
      </c>
      <c r="B12" s="3" t="s">
        <v>1146</v>
      </c>
      <c r="C12" s="3" t="s">
        <v>869</v>
      </c>
      <c r="D12" s="1">
        <v>0.793</v>
      </c>
      <c r="E12" s="3" t="s">
        <v>1284</v>
      </c>
      <c r="F12" s="3" t="s">
        <v>1285</v>
      </c>
      <c r="G12" s="4">
        <v>34453</v>
      </c>
      <c r="H12" s="1">
        <v>571</v>
      </c>
      <c r="I12" s="5">
        <v>412.92</v>
      </c>
      <c r="J12">
        <f t="shared" si="0"/>
        <v>1.08573021106999</v>
      </c>
      <c r="K12" s="1">
        <v>142118</v>
      </c>
      <c r="L12" s="1">
        <v>142118</v>
      </c>
      <c r="M12" s="1">
        <v>526</v>
      </c>
      <c r="N12" s="7" t="s">
        <v>1286</v>
      </c>
    </row>
    <row r="13" ht="14.25" spans="1:14">
      <c r="A13" s="1" t="s">
        <v>78</v>
      </c>
      <c r="B13" s="3" t="s">
        <v>222</v>
      </c>
      <c r="C13" s="3" t="s">
        <v>580</v>
      </c>
      <c r="D13" s="1">
        <v>0.261</v>
      </c>
      <c r="E13" s="3" t="s">
        <v>1287</v>
      </c>
      <c r="F13" s="3" t="s">
        <v>1288</v>
      </c>
      <c r="G13" s="4">
        <v>34021</v>
      </c>
      <c r="H13" s="1">
        <v>549</v>
      </c>
      <c r="I13" s="5">
        <v>434.61</v>
      </c>
      <c r="J13">
        <f t="shared" si="0"/>
        <v>1.0305267984266</v>
      </c>
      <c r="K13" s="1">
        <v>136587</v>
      </c>
      <c r="L13" s="1">
        <v>136587</v>
      </c>
      <c r="M13" s="1">
        <v>536</v>
      </c>
      <c r="N13" s="7" t="s">
        <v>1289</v>
      </c>
    </row>
    <row r="14" ht="14.25" spans="1:14">
      <c r="A14" s="1" t="s">
        <v>84</v>
      </c>
      <c r="B14" s="3" t="s">
        <v>218</v>
      </c>
      <c r="C14" s="3" t="s">
        <v>885</v>
      </c>
      <c r="D14" s="1">
        <v>0.18</v>
      </c>
      <c r="E14" s="3" t="s">
        <v>1290</v>
      </c>
      <c r="F14" s="3" t="s">
        <v>1291</v>
      </c>
      <c r="G14" s="4">
        <v>12451</v>
      </c>
      <c r="H14" s="1">
        <v>148</v>
      </c>
      <c r="I14" s="5">
        <v>384.62</v>
      </c>
      <c r="J14">
        <f t="shared" si="0"/>
        <v>1.13974356832866</v>
      </c>
      <c r="K14" s="1">
        <v>70321</v>
      </c>
      <c r="L14" s="1">
        <v>70321</v>
      </c>
      <c r="M14" s="1">
        <v>398</v>
      </c>
      <c r="N14" s="7" t="s">
        <v>1292</v>
      </c>
    </row>
    <row r="15" ht="14.25" spans="1:14">
      <c r="A15" s="1" t="s">
        <v>89</v>
      </c>
      <c r="B15" s="3" t="s">
        <v>108</v>
      </c>
      <c r="C15" s="3" t="s">
        <v>1293</v>
      </c>
      <c r="D15" s="1">
        <v>0.314</v>
      </c>
      <c r="E15" s="3" t="s">
        <v>1294</v>
      </c>
      <c r="F15" s="3" t="s">
        <v>1295</v>
      </c>
      <c r="G15" s="4">
        <v>11892</v>
      </c>
      <c r="H15" s="1">
        <v>158</v>
      </c>
      <c r="I15" s="5">
        <v>410.31</v>
      </c>
      <c r="J15">
        <f t="shared" si="0"/>
        <v>0.914528094211925</v>
      </c>
      <c r="K15" s="1">
        <v>128631</v>
      </c>
      <c r="L15" s="1">
        <v>128631</v>
      </c>
      <c r="M15" s="1">
        <v>345</v>
      </c>
      <c r="N15" s="7" t="s">
        <v>1034</v>
      </c>
    </row>
    <row r="16" ht="14.25" spans="1:14">
      <c r="A16" s="1" t="s">
        <v>95</v>
      </c>
      <c r="B16" s="3" t="s">
        <v>147</v>
      </c>
      <c r="C16" s="3" t="s">
        <v>791</v>
      </c>
      <c r="D16" s="1">
        <v>0.494</v>
      </c>
      <c r="E16" s="3" t="s">
        <v>1296</v>
      </c>
      <c r="F16" s="3" t="s">
        <v>1297</v>
      </c>
      <c r="G16" s="4">
        <v>8962</v>
      </c>
      <c r="H16" s="1">
        <v>70</v>
      </c>
      <c r="I16" s="5">
        <v>372.17</v>
      </c>
      <c r="J16">
        <f t="shared" si="0"/>
        <v>1.0123503845279</v>
      </c>
      <c r="K16" s="1">
        <v>63188</v>
      </c>
      <c r="L16" s="1">
        <v>63188</v>
      </c>
      <c r="M16" s="1">
        <v>389</v>
      </c>
      <c r="N16" s="7" t="s">
        <v>1298</v>
      </c>
    </row>
    <row r="17" ht="14.25" spans="1:14">
      <c r="A17" s="1" t="s">
        <v>101</v>
      </c>
      <c r="B17" s="3" t="s">
        <v>56</v>
      </c>
      <c r="C17" s="3" t="s">
        <v>1218</v>
      </c>
      <c r="D17" s="1">
        <v>0.288</v>
      </c>
      <c r="E17" s="3" t="s">
        <v>1299</v>
      </c>
      <c r="F17" s="3" t="s">
        <v>1300</v>
      </c>
      <c r="G17" s="4">
        <v>21706</v>
      </c>
      <c r="H17" s="1">
        <v>268</v>
      </c>
      <c r="I17" s="5">
        <v>380.68</v>
      </c>
      <c r="J17">
        <f t="shared" si="0"/>
        <v>1.17513946002806</v>
      </c>
      <c r="K17" s="1">
        <v>82610</v>
      </c>
      <c r="L17" s="1">
        <v>82610</v>
      </c>
      <c r="M17" s="1">
        <v>302</v>
      </c>
      <c r="N17" s="7" t="s">
        <v>1301</v>
      </c>
    </row>
    <row r="18" ht="14.25" spans="1:14">
      <c r="A18" s="1" t="s">
        <v>107</v>
      </c>
      <c r="B18" s="3" t="s">
        <v>197</v>
      </c>
      <c r="C18" s="3" t="s">
        <v>715</v>
      </c>
      <c r="D18" s="1">
        <v>0.335</v>
      </c>
      <c r="E18" s="3" t="s">
        <v>1302</v>
      </c>
      <c r="F18" s="3" t="s">
        <v>1303</v>
      </c>
      <c r="G18" s="4">
        <v>13776</v>
      </c>
      <c r="H18" s="1">
        <v>100</v>
      </c>
      <c r="I18" s="5">
        <v>374.37</v>
      </c>
      <c r="J18">
        <f t="shared" si="0"/>
        <v>1.18309120395572</v>
      </c>
      <c r="K18" s="1">
        <v>61200</v>
      </c>
      <c r="L18" s="1">
        <v>61200</v>
      </c>
      <c r="M18" s="1">
        <v>198</v>
      </c>
      <c r="N18" s="7" t="s">
        <v>1304</v>
      </c>
    </row>
    <row r="19" ht="14.25" spans="1:14">
      <c r="A19" s="1" t="s">
        <v>113</v>
      </c>
      <c r="B19" s="3" t="s">
        <v>881</v>
      </c>
      <c r="C19" s="3" t="s">
        <v>836</v>
      </c>
      <c r="D19" s="1">
        <v>0.239</v>
      </c>
      <c r="E19" s="3" t="s">
        <v>1305</v>
      </c>
      <c r="F19" s="3" t="s">
        <v>1306</v>
      </c>
      <c r="G19" s="4">
        <v>12867</v>
      </c>
      <c r="H19" s="1">
        <v>143</v>
      </c>
      <c r="I19" s="5">
        <v>391.9</v>
      </c>
      <c r="J19">
        <f t="shared" si="0"/>
        <v>1.08112832738571</v>
      </c>
      <c r="K19" s="1">
        <v>84400</v>
      </c>
      <c r="L19" s="1">
        <v>84400</v>
      </c>
      <c r="M19" s="1">
        <v>256</v>
      </c>
      <c r="N19" s="7" t="s">
        <v>1307</v>
      </c>
    </row>
    <row r="20" ht="14.25" spans="1:14">
      <c r="A20" s="1" t="s">
        <v>119</v>
      </c>
      <c r="B20" s="3" t="s">
        <v>147</v>
      </c>
      <c r="C20" s="3" t="s">
        <v>38</v>
      </c>
      <c r="D20" s="1">
        <v>0.322</v>
      </c>
      <c r="E20" s="3" t="s">
        <v>1308</v>
      </c>
      <c r="F20" s="3" t="s">
        <v>1309</v>
      </c>
      <c r="G20" s="4">
        <v>12109</v>
      </c>
      <c r="H20" s="1">
        <v>134</v>
      </c>
      <c r="I20" s="5">
        <v>362.36</v>
      </c>
      <c r="J20">
        <f t="shared" si="0"/>
        <v>1.12617065090877</v>
      </c>
      <c r="K20" s="1">
        <v>67800</v>
      </c>
      <c r="L20" s="1">
        <v>67800</v>
      </c>
      <c r="M20" s="1">
        <v>208</v>
      </c>
      <c r="N20" s="7" t="s">
        <v>1310</v>
      </c>
    </row>
    <row r="21" ht="14.25" spans="1:14">
      <c r="A21" s="1" t="s">
        <v>125</v>
      </c>
      <c r="B21" s="3" t="s">
        <v>147</v>
      </c>
      <c r="C21" s="3" t="s">
        <v>877</v>
      </c>
      <c r="D21" s="1">
        <v>0.49</v>
      </c>
      <c r="E21" s="3" t="s">
        <v>1311</v>
      </c>
      <c r="F21" s="3" t="s">
        <v>1312</v>
      </c>
      <c r="G21" s="4">
        <v>37843</v>
      </c>
      <c r="H21" s="1">
        <v>740</v>
      </c>
      <c r="I21" s="5">
        <v>406.53</v>
      </c>
      <c r="J21">
        <f t="shared" si="0"/>
        <v>1.31918985139512</v>
      </c>
      <c r="K21" s="1">
        <v>115100</v>
      </c>
      <c r="L21" s="1">
        <v>115100</v>
      </c>
      <c r="M21" s="1">
        <v>128</v>
      </c>
      <c r="N21" s="7" t="s">
        <v>1313</v>
      </c>
    </row>
    <row r="22" ht="14.25" spans="1:14">
      <c r="A22" s="1" t="s">
        <v>130</v>
      </c>
      <c r="B22" s="3" t="s">
        <v>108</v>
      </c>
      <c r="C22" s="3" t="s">
        <v>866</v>
      </c>
      <c r="D22" s="1">
        <v>0.515</v>
      </c>
      <c r="E22" s="3" t="s">
        <v>1314</v>
      </c>
      <c r="F22" s="3" t="s">
        <v>1315</v>
      </c>
      <c r="G22" s="4">
        <v>8371</v>
      </c>
      <c r="H22" s="1">
        <v>46</v>
      </c>
      <c r="I22" s="5">
        <v>355.11</v>
      </c>
      <c r="J22">
        <f t="shared" si="0"/>
        <v>0.925430219920991</v>
      </c>
      <c r="K22" s="1">
        <v>49600</v>
      </c>
      <c r="L22" s="1">
        <v>49600</v>
      </c>
      <c r="M22" s="1">
        <v>112</v>
      </c>
      <c r="N22" s="7" t="s">
        <v>876</v>
      </c>
    </row>
    <row r="23" ht="14.25" spans="1:14">
      <c r="A23" s="1" t="s">
        <v>135</v>
      </c>
      <c r="B23" s="3" t="s">
        <v>1316</v>
      </c>
      <c r="C23" s="3" t="s">
        <v>401</v>
      </c>
      <c r="D23" s="1">
        <v>0.439</v>
      </c>
      <c r="E23" s="3" t="s">
        <v>1317</v>
      </c>
      <c r="F23" s="3" t="s">
        <v>1318</v>
      </c>
      <c r="G23" s="4">
        <v>3374</v>
      </c>
      <c r="H23" s="1">
        <v>35</v>
      </c>
      <c r="I23" s="5">
        <v>375.35</v>
      </c>
      <c r="J23">
        <f t="shared" si="0"/>
        <v>1.06897481488744</v>
      </c>
      <c r="K23" s="1">
        <v>69800</v>
      </c>
      <c r="L23" s="1">
        <v>69800</v>
      </c>
      <c r="M23" s="1">
        <v>98</v>
      </c>
      <c r="N23" s="7" t="s">
        <v>1319</v>
      </c>
    </row>
    <row r="24" ht="14.25" spans="1:14">
      <c r="A24" s="1" t="s">
        <v>141</v>
      </c>
      <c r="B24" s="3" t="s">
        <v>817</v>
      </c>
      <c r="C24" s="3" t="s">
        <v>1320</v>
      </c>
      <c r="D24" s="1">
        <v>0.779</v>
      </c>
      <c r="E24" s="3" t="s">
        <v>1321</v>
      </c>
      <c r="F24" s="3" t="s">
        <v>1322</v>
      </c>
      <c r="G24" s="4">
        <v>10254</v>
      </c>
      <c r="H24" s="1">
        <v>72</v>
      </c>
      <c r="I24" s="5">
        <v>373.22</v>
      </c>
      <c r="J24">
        <f t="shared" si="0"/>
        <v>0.978273557933166</v>
      </c>
      <c r="K24" s="1">
        <v>92900</v>
      </c>
      <c r="L24" s="1">
        <v>92900</v>
      </c>
      <c r="M24" s="1">
        <v>76</v>
      </c>
      <c r="N24" s="7" t="s">
        <v>1323</v>
      </c>
    </row>
    <row r="25" ht="14.25" spans="1:14">
      <c r="A25" s="1" t="s">
        <v>146</v>
      </c>
      <c r="B25" s="3" t="s">
        <v>466</v>
      </c>
      <c r="C25" s="3" t="s">
        <v>1324</v>
      </c>
      <c r="D25" s="1">
        <v>0.383</v>
      </c>
      <c r="E25" s="3" t="s">
        <v>1325</v>
      </c>
      <c r="F25" s="3" t="s">
        <v>1326</v>
      </c>
      <c r="G25" s="4">
        <v>17198</v>
      </c>
      <c r="H25" s="1">
        <v>158</v>
      </c>
      <c r="I25" s="5">
        <v>363.61</v>
      </c>
      <c r="J25">
        <f t="shared" si="0"/>
        <v>1.24566535180357</v>
      </c>
      <c r="K25" s="1">
        <v>63800</v>
      </c>
      <c r="L25" s="1">
        <v>63800</v>
      </c>
      <c r="M25" s="1">
        <v>56</v>
      </c>
      <c r="N25" s="7" t="s">
        <v>1327</v>
      </c>
    </row>
    <row r="26" ht="14.25" spans="1:14">
      <c r="A26" s="1" t="s">
        <v>152</v>
      </c>
      <c r="B26" s="3" t="s">
        <v>56</v>
      </c>
      <c r="C26" s="3" t="s">
        <v>308</v>
      </c>
      <c r="D26" s="1">
        <v>0.053</v>
      </c>
      <c r="E26" s="3" t="s">
        <v>1328</v>
      </c>
      <c r="F26" s="3" t="s">
        <v>1329</v>
      </c>
      <c r="G26" s="4">
        <v>7361</v>
      </c>
      <c r="H26" s="1">
        <v>33</v>
      </c>
      <c r="I26" s="5">
        <v>340.8</v>
      </c>
      <c r="J26">
        <f t="shared" si="0"/>
        <v>0.839323368856533</v>
      </c>
      <c r="K26" s="1">
        <v>52300</v>
      </c>
      <c r="L26" s="1">
        <v>52300</v>
      </c>
      <c r="M26" s="1">
        <v>58</v>
      </c>
      <c r="N26" s="7" t="s">
        <v>1330</v>
      </c>
    </row>
    <row r="27" ht="14.25" spans="1:14">
      <c r="A27" s="1" t="s">
        <v>158</v>
      </c>
      <c r="B27" s="3" t="s">
        <v>345</v>
      </c>
      <c r="C27" s="3" t="s">
        <v>1331</v>
      </c>
      <c r="D27" s="1">
        <v>0.036</v>
      </c>
      <c r="E27" s="3" t="s">
        <v>1332</v>
      </c>
      <c r="F27" s="3" t="s">
        <v>1333</v>
      </c>
      <c r="G27" s="4">
        <v>7643</v>
      </c>
      <c r="H27" s="1">
        <v>41</v>
      </c>
      <c r="I27" s="5">
        <v>346.93</v>
      </c>
      <c r="J27">
        <f t="shared" si="0"/>
        <v>0.936940965551779</v>
      </c>
      <c r="K27" s="1">
        <v>55100</v>
      </c>
      <c r="L27" s="1">
        <v>55100</v>
      </c>
      <c r="M27" s="1">
        <v>55</v>
      </c>
      <c r="N27" s="7" t="s">
        <v>1334</v>
      </c>
    </row>
    <row r="28" ht="14.25" spans="1:14">
      <c r="A28" s="1" t="s">
        <v>164</v>
      </c>
      <c r="B28" s="3" t="s">
        <v>930</v>
      </c>
      <c r="C28" s="3" t="s">
        <v>405</v>
      </c>
      <c r="D28" s="1">
        <v>0.001</v>
      </c>
      <c r="E28" s="3" t="s">
        <v>1335</v>
      </c>
      <c r="F28" s="3" t="s">
        <v>1336</v>
      </c>
      <c r="G28" s="4">
        <v>963</v>
      </c>
      <c r="H28" s="1">
        <v>20</v>
      </c>
      <c r="I28" s="5">
        <v>342.1</v>
      </c>
      <c r="J28">
        <f t="shared" si="0"/>
        <v>1.08979576735238</v>
      </c>
      <c r="K28" s="1">
        <v>63300</v>
      </c>
      <c r="L28" s="1">
        <v>63300</v>
      </c>
      <c r="M28" s="1">
        <v>38</v>
      </c>
      <c r="N28" s="7" t="s">
        <v>1337</v>
      </c>
    </row>
    <row r="29" ht="14.25" spans="1:14">
      <c r="A29" s="1" t="s">
        <v>170</v>
      </c>
      <c r="B29" s="3" t="s">
        <v>147</v>
      </c>
      <c r="C29" s="3" t="s">
        <v>1338</v>
      </c>
      <c r="D29" s="1">
        <v>0.222</v>
      </c>
      <c r="E29" s="3" t="s">
        <v>1339</v>
      </c>
      <c r="F29" s="3" t="s">
        <v>1340</v>
      </c>
      <c r="G29" s="4">
        <v>9436</v>
      </c>
      <c r="H29" s="1">
        <v>64</v>
      </c>
      <c r="I29" s="5">
        <v>374.16</v>
      </c>
      <c r="J29">
        <f t="shared" si="0"/>
        <v>1.2308676653901</v>
      </c>
      <c r="K29" s="1">
        <v>75300</v>
      </c>
      <c r="L29" s="1">
        <v>75300</v>
      </c>
      <c r="M29" s="1">
        <v>41</v>
      </c>
      <c r="N29" s="7" t="s">
        <v>1044</v>
      </c>
    </row>
    <row r="30" ht="14.25" spans="1:14">
      <c r="A30" s="1" t="s">
        <v>175</v>
      </c>
      <c r="B30" s="3" t="s">
        <v>1341</v>
      </c>
      <c r="C30" s="3" t="s">
        <v>1005</v>
      </c>
      <c r="D30" s="1">
        <v>0.068</v>
      </c>
      <c r="E30" s="3" t="s">
        <v>1342</v>
      </c>
      <c r="F30" s="3" t="s">
        <v>1343</v>
      </c>
      <c r="G30" s="4">
        <v>4215</v>
      </c>
      <c r="H30" s="1">
        <v>32</v>
      </c>
      <c r="I30" s="5">
        <v>341.16</v>
      </c>
      <c r="J30">
        <f t="shared" si="0"/>
        <v>0.946005765241475</v>
      </c>
      <c r="K30" s="1">
        <v>38200</v>
      </c>
      <c r="L30" s="1">
        <v>38200</v>
      </c>
      <c r="M30" s="1">
        <v>39</v>
      </c>
      <c r="N30" s="7" t="s">
        <v>1344</v>
      </c>
    </row>
    <row r="31" ht="14.25" spans="1:14">
      <c r="A31" s="1" t="s">
        <v>180</v>
      </c>
      <c r="B31" s="3" t="s">
        <v>417</v>
      </c>
      <c r="C31" s="3" t="s">
        <v>1345</v>
      </c>
      <c r="D31" s="1">
        <v>0</v>
      </c>
      <c r="E31" s="3" t="s">
        <v>1346</v>
      </c>
      <c r="F31" s="3" t="s">
        <v>1347</v>
      </c>
      <c r="G31" s="4">
        <v>1104</v>
      </c>
      <c r="H31" s="1">
        <v>13</v>
      </c>
      <c r="I31" s="5">
        <v>329.89</v>
      </c>
      <c r="J31">
        <f t="shared" si="0"/>
        <v>0.982587173518619</v>
      </c>
      <c r="K31" s="1">
        <v>56400</v>
      </c>
      <c r="L31" s="1">
        <v>56400</v>
      </c>
      <c r="M31" s="1">
        <v>21</v>
      </c>
      <c r="N31" s="7" t="s">
        <v>1348</v>
      </c>
    </row>
    <row r="32" ht="14.25" spans="1:14">
      <c r="A32" s="1" t="s">
        <v>186</v>
      </c>
      <c r="B32" s="3" t="s">
        <v>38</v>
      </c>
      <c r="C32" s="3" t="s">
        <v>699</v>
      </c>
      <c r="D32" s="1">
        <v>0.006</v>
      </c>
      <c r="E32" s="3" t="s">
        <v>1349</v>
      </c>
      <c r="F32" s="3" t="s">
        <v>1350</v>
      </c>
      <c r="G32" s="4">
        <v>2196</v>
      </c>
      <c r="H32" s="1">
        <v>16</v>
      </c>
      <c r="I32" s="5">
        <v>344.86</v>
      </c>
      <c r="J32">
        <f t="shared" si="0"/>
        <v>0.884455107371208</v>
      </c>
      <c r="K32" s="1">
        <v>67600</v>
      </c>
      <c r="L32" s="1">
        <v>67600</v>
      </c>
      <c r="M32" s="1">
        <v>17</v>
      </c>
      <c r="N32" s="7" t="s">
        <v>1351</v>
      </c>
    </row>
    <row r="33" ht="14.25" spans="1:14">
      <c r="A33" s="1" t="s">
        <v>191</v>
      </c>
      <c r="B33" s="3" t="s">
        <v>817</v>
      </c>
      <c r="C33" s="3" t="s">
        <v>657</v>
      </c>
      <c r="D33" s="1">
        <v>0.005</v>
      </c>
      <c r="E33" s="3" t="s">
        <v>1352</v>
      </c>
      <c r="F33" s="3" t="s">
        <v>1353</v>
      </c>
      <c r="G33" s="4">
        <v>4629</v>
      </c>
      <c r="H33" s="1">
        <v>61</v>
      </c>
      <c r="I33" s="5">
        <v>341.77</v>
      </c>
      <c r="J33">
        <f t="shared" si="0"/>
        <v>1.04522168244699</v>
      </c>
      <c r="K33" s="1">
        <v>67900</v>
      </c>
      <c r="L33" s="1">
        <v>67900</v>
      </c>
      <c r="M33" s="1">
        <v>9</v>
      </c>
      <c r="N33" s="7" t="s">
        <v>906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L22" sqref="L22"/>
    </sheetView>
  </sheetViews>
  <sheetFormatPr defaultColWidth="9.02654867256637" defaultRowHeight="13.5"/>
  <cols>
    <col min="1" max="1" width="9"/>
    <col min="2" max="2" width="11.3097345132743" customWidth="1"/>
    <col min="3" max="3" width="9.24778761061947" customWidth="1"/>
    <col min="4" max="4" width="11.3097345132743" customWidth="1"/>
    <col min="5" max="6" width="22.0796460176991" customWidth="1"/>
    <col min="7" max="7" width="17.7610619469027" customWidth="1"/>
    <col min="8" max="8" width="13.4336283185841" customWidth="1"/>
    <col min="9" max="9" width="17.7610619469027" customWidth="1"/>
    <col min="10" max="10" width="7.31858407079646" customWidth="1"/>
    <col min="11" max="11" width="8.38938053097345" customWidth="1"/>
    <col min="12" max="12" width="18.9646017699115" customWidth="1"/>
    <col min="13" max="13" width="19.9557522123894" customWidth="1"/>
    <col min="14" max="14" width="22.4336283185841" customWidth="1"/>
  </cols>
  <sheetData>
    <row r="1" spans="1:1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14.25" spans="1:14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4.25" spans="1:14">
      <c r="A3" s="1" t="s">
        <v>18</v>
      </c>
      <c r="B3" s="3" t="s">
        <v>1146</v>
      </c>
      <c r="C3" s="3" t="s">
        <v>1354</v>
      </c>
      <c r="D3" s="1">
        <v>0.35</v>
      </c>
      <c r="E3" s="3" t="s">
        <v>1355</v>
      </c>
      <c r="F3" s="3" t="s">
        <v>1356</v>
      </c>
      <c r="G3" s="4">
        <v>16903</v>
      </c>
      <c r="H3" s="1">
        <v>454</v>
      </c>
      <c r="I3" s="5">
        <v>452.83</v>
      </c>
      <c r="J3">
        <f>E3/F3</f>
        <v>2.23501352996681</v>
      </c>
      <c r="K3" s="1">
        <v>247676</v>
      </c>
      <c r="L3" s="1">
        <v>247676</v>
      </c>
      <c r="M3" s="1">
        <v>5892</v>
      </c>
      <c r="N3" s="7" t="s">
        <v>1357</v>
      </c>
    </row>
    <row r="4" ht="14.25" spans="1:14">
      <c r="A4" s="1" t="s">
        <v>24</v>
      </c>
      <c r="B4" s="3" t="s">
        <v>345</v>
      </c>
      <c r="C4" s="3" t="s">
        <v>805</v>
      </c>
      <c r="D4" s="1">
        <v>0.555</v>
      </c>
      <c r="E4" s="3" t="s">
        <v>1358</v>
      </c>
      <c r="F4" s="3" t="s">
        <v>1359</v>
      </c>
      <c r="G4" s="4">
        <v>5879</v>
      </c>
      <c r="H4" s="1">
        <v>67</v>
      </c>
      <c r="I4" s="5">
        <v>407.3</v>
      </c>
      <c r="J4">
        <f t="shared" ref="J4:J33" si="0">E4/F4</f>
        <v>0.952783747804726</v>
      </c>
      <c r="K4" s="1">
        <v>123610</v>
      </c>
      <c r="L4" s="1">
        <v>123610</v>
      </c>
      <c r="M4" s="1">
        <v>3014</v>
      </c>
      <c r="N4" s="7" t="s">
        <v>1360</v>
      </c>
    </row>
    <row r="5" ht="14.25" spans="1:14">
      <c r="A5" s="1" t="s">
        <v>30</v>
      </c>
      <c r="B5" s="3" t="s">
        <v>26</v>
      </c>
      <c r="C5" s="3" t="s">
        <v>1361</v>
      </c>
      <c r="D5" s="1">
        <v>0.038</v>
      </c>
      <c r="E5" s="3" t="s">
        <v>1362</v>
      </c>
      <c r="F5" s="3" t="s">
        <v>1363</v>
      </c>
      <c r="G5" s="4">
        <v>13577</v>
      </c>
      <c r="H5" s="1">
        <v>90</v>
      </c>
      <c r="I5" s="5">
        <v>360.65</v>
      </c>
      <c r="J5">
        <f t="shared" si="0"/>
        <v>1.3083618208546</v>
      </c>
      <c r="K5" s="1">
        <v>57751</v>
      </c>
      <c r="L5" s="1">
        <v>57751</v>
      </c>
      <c r="M5" s="1">
        <v>4523</v>
      </c>
      <c r="N5" s="7" t="s">
        <v>1364</v>
      </c>
    </row>
    <row r="6" ht="14.25" spans="1:14">
      <c r="A6" s="1" t="s">
        <v>36</v>
      </c>
      <c r="B6" s="3" t="s">
        <v>345</v>
      </c>
      <c r="C6" s="3" t="s">
        <v>1218</v>
      </c>
      <c r="D6" s="1">
        <v>0.064</v>
      </c>
      <c r="E6" s="3" t="s">
        <v>1365</v>
      </c>
      <c r="F6" s="3" t="s">
        <v>1366</v>
      </c>
      <c r="G6" s="4">
        <v>6813</v>
      </c>
      <c r="H6" s="1">
        <v>52</v>
      </c>
      <c r="I6" s="5">
        <v>366.07</v>
      </c>
      <c r="J6">
        <f t="shared" si="0"/>
        <v>1.42599003532081</v>
      </c>
      <c r="K6" s="1">
        <v>73600</v>
      </c>
      <c r="L6" s="1">
        <v>73600</v>
      </c>
      <c r="M6" s="1">
        <v>1698</v>
      </c>
      <c r="N6" s="7" t="s">
        <v>858</v>
      </c>
    </row>
    <row r="7" ht="14.25" spans="1:14">
      <c r="A7" s="1" t="s">
        <v>42</v>
      </c>
      <c r="B7" s="3" t="s">
        <v>50</v>
      </c>
      <c r="C7" s="3" t="s">
        <v>206</v>
      </c>
      <c r="D7" s="1">
        <v>0.002</v>
      </c>
      <c r="E7" s="3" t="s">
        <v>1367</v>
      </c>
      <c r="F7" s="3" t="s">
        <v>1368</v>
      </c>
      <c r="G7" s="4">
        <v>3982</v>
      </c>
      <c r="H7" s="1">
        <v>32</v>
      </c>
      <c r="I7" s="5">
        <v>353.9</v>
      </c>
      <c r="J7">
        <f t="shared" si="0"/>
        <v>1.20256823711347</v>
      </c>
      <c r="K7" s="1">
        <v>91620</v>
      </c>
      <c r="L7" s="1">
        <v>91620</v>
      </c>
      <c r="M7" s="1">
        <v>1526</v>
      </c>
      <c r="N7" s="7" t="s">
        <v>1369</v>
      </c>
    </row>
    <row r="8" ht="14.25" spans="1:14">
      <c r="A8" s="1" t="s">
        <v>48</v>
      </c>
      <c r="B8" s="3" t="s">
        <v>833</v>
      </c>
      <c r="C8" s="3" t="s">
        <v>766</v>
      </c>
      <c r="D8" s="1">
        <v>0.122</v>
      </c>
      <c r="E8" s="3" t="s">
        <v>1370</v>
      </c>
      <c r="F8" s="3" t="s">
        <v>1371</v>
      </c>
      <c r="G8" s="4">
        <v>2149</v>
      </c>
      <c r="H8" s="1">
        <v>87</v>
      </c>
      <c r="I8" s="5">
        <v>365.25</v>
      </c>
      <c r="J8">
        <f t="shared" si="0"/>
        <v>1.38759779827323</v>
      </c>
      <c r="K8" s="1">
        <v>66620</v>
      </c>
      <c r="L8" s="1">
        <v>66620</v>
      </c>
      <c r="M8" s="1">
        <v>786</v>
      </c>
      <c r="N8" s="7" t="s">
        <v>1372</v>
      </c>
    </row>
    <row r="9" ht="14.25" spans="1:14">
      <c r="A9" s="1" t="s">
        <v>54</v>
      </c>
      <c r="B9" s="3" t="s">
        <v>62</v>
      </c>
      <c r="C9" s="3" t="s">
        <v>1059</v>
      </c>
      <c r="D9" s="1">
        <v>0.232</v>
      </c>
      <c r="E9" s="3" t="s">
        <v>1373</v>
      </c>
      <c r="F9" s="3" t="s">
        <v>1374</v>
      </c>
      <c r="G9" s="4">
        <v>4319</v>
      </c>
      <c r="H9" s="1">
        <v>52</v>
      </c>
      <c r="I9" s="5">
        <v>343.67</v>
      </c>
      <c r="J9">
        <f t="shared" si="0"/>
        <v>1.24293252205585</v>
      </c>
      <c r="K9" s="1">
        <v>46900</v>
      </c>
      <c r="L9" s="1">
        <v>46900</v>
      </c>
      <c r="M9" s="1">
        <v>625</v>
      </c>
      <c r="N9" s="7" t="s">
        <v>1375</v>
      </c>
    </row>
    <row r="10" ht="14.25" spans="1:14">
      <c r="A10" s="1" t="s">
        <v>60</v>
      </c>
      <c r="B10" s="3" t="s">
        <v>50</v>
      </c>
      <c r="C10" s="3" t="s">
        <v>1376</v>
      </c>
      <c r="D10" s="1">
        <v>0.014</v>
      </c>
      <c r="E10" s="3" t="s">
        <v>1377</v>
      </c>
      <c r="F10" s="3" t="s">
        <v>1378</v>
      </c>
      <c r="G10" s="4">
        <v>3647</v>
      </c>
      <c r="H10" s="1">
        <v>42</v>
      </c>
      <c r="I10" s="5">
        <v>347.59</v>
      </c>
      <c r="J10">
        <f t="shared" si="0"/>
        <v>1.52939900623078</v>
      </c>
      <c r="K10" s="1">
        <v>42200</v>
      </c>
      <c r="L10" s="1">
        <v>42200</v>
      </c>
      <c r="M10" s="1">
        <v>523</v>
      </c>
      <c r="N10" s="7" t="s">
        <v>1379</v>
      </c>
    </row>
    <row r="11" ht="14.25" spans="1:14">
      <c r="A11" s="1" t="s">
        <v>66</v>
      </c>
      <c r="B11" s="3" t="s">
        <v>562</v>
      </c>
      <c r="C11" s="3" t="s">
        <v>699</v>
      </c>
      <c r="D11" s="1">
        <v>1.634</v>
      </c>
      <c r="E11" s="3" t="s">
        <v>1380</v>
      </c>
      <c r="F11" s="3" t="s">
        <v>1381</v>
      </c>
      <c r="G11" s="4">
        <v>12896</v>
      </c>
      <c r="H11" s="1">
        <v>416</v>
      </c>
      <c r="I11" s="5">
        <v>460.69</v>
      </c>
      <c r="J11">
        <f t="shared" si="0"/>
        <v>1.86440849530017</v>
      </c>
      <c r="K11" s="1">
        <v>200498</v>
      </c>
      <c r="L11" s="1">
        <v>200498</v>
      </c>
      <c r="M11" s="1">
        <v>456</v>
      </c>
      <c r="N11" s="7" t="s">
        <v>1382</v>
      </c>
    </row>
    <row r="12" ht="14.25" spans="1:14">
      <c r="A12" s="1" t="s">
        <v>72</v>
      </c>
      <c r="B12" s="3" t="s">
        <v>222</v>
      </c>
      <c r="C12" s="3" t="s">
        <v>1383</v>
      </c>
      <c r="D12" s="1">
        <v>0.598</v>
      </c>
      <c r="E12" s="3" t="s">
        <v>1384</v>
      </c>
      <c r="F12" s="3" t="s">
        <v>1385</v>
      </c>
      <c r="G12" s="4">
        <v>33754</v>
      </c>
      <c r="H12" s="1">
        <v>635</v>
      </c>
      <c r="I12" s="5">
        <v>424.06</v>
      </c>
      <c r="J12">
        <f t="shared" si="0"/>
        <v>1.05729120537197</v>
      </c>
      <c r="K12" s="1">
        <v>149868</v>
      </c>
      <c r="L12" s="1">
        <v>149868</v>
      </c>
      <c r="M12" s="1">
        <v>489</v>
      </c>
      <c r="N12" s="7" t="s">
        <v>1386</v>
      </c>
    </row>
    <row r="13" ht="14.25" spans="1:14">
      <c r="A13" s="1" t="s">
        <v>78</v>
      </c>
      <c r="B13" s="3" t="s">
        <v>201</v>
      </c>
      <c r="C13" s="3" t="s">
        <v>715</v>
      </c>
      <c r="D13" s="1">
        <v>0.209</v>
      </c>
      <c r="E13" s="3" t="s">
        <v>1387</v>
      </c>
      <c r="F13" s="3" t="s">
        <v>1388</v>
      </c>
      <c r="G13" s="4">
        <v>34921</v>
      </c>
      <c r="H13" s="1">
        <v>655</v>
      </c>
      <c r="I13" s="5">
        <v>440.04</v>
      </c>
      <c r="J13">
        <f t="shared" si="0"/>
        <v>1.03441372334148</v>
      </c>
      <c r="K13" s="1">
        <v>144961</v>
      </c>
      <c r="L13" s="1">
        <v>144961</v>
      </c>
      <c r="M13" s="1">
        <v>498</v>
      </c>
      <c r="N13" s="7" t="s">
        <v>1389</v>
      </c>
    </row>
    <row r="14" ht="14.25" spans="1:14">
      <c r="A14" s="1" t="s">
        <v>84</v>
      </c>
      <c r="B14" s="3" t="s">
        <v>108</v>
      </c>
      <c r="C14" s="3" t="s">
        <v>1266</v>
      </c>
      <c r="D14" s="1">
        <v>0.213</v>
      </c>
      <c r="E14" s="3" t="s">
        <v>1390</v>
      </c>
      <c r="F14" s="3" t="s">
        <v>1391</v>
      </c>
      <c r="G14" s="4">
        <v>12983</v>
      </c>
      <c r="H14" s="1">
        <v>160</v>
      </c>
      <c r="I14" s="5">
        <v>393.32</v>
      </c>
      <c r="J14">
        <f t="shared" si="0"/>
        <v>1.11457426088916</v>
      </c>
      <c r="K14" s="1">
        <v>73659</v>
      </c>
      <c r="L14" s="1">
        <v>73659</v>
      </c>
      <c r="M14" s="1">
        <v>365</v>
      </c>
      <c r="N14" s="7" t="s">
        <v>1392</v>
      </c>
    </row>
    <row r="15" ht="14.25" spans="1:14">
      <c r="A15" s="1" t="s">
        <v>89</v>
      </c>
      <c r="B15" s="3" t="s">
        <v>108</v>
      </c>
      <c r="C15" s="3" t="s">
        <v>1393</v>
      </c>
      <c r="D15" s="1">
        <v>0.219</v>
      </c>
      <c r="E15" s="3" t="s">
        <v>1394</v>
      </c>
      <c r="F15" s="3" t="s">
        <v>1395</v>
      </c>
      <c r="G15" s="4">
        <v>12461</v>
      </c>
      <c r="H15" s="1">
        <v>169</v>
      </c>
      <c r="I15" s="5">
        <v>420.75</v>
      </c>
      <c r="J15">
        <f t="shared" si="0"/>
        <v>0.967552042743867</v>
      </c>
      <c r="K15" s="1">
        <v>139810</v>
      </c>
      <c r="L15" s="1">
        <v>139810</v>
      </c>
      <c r="M15" s="1">
        <v>312</v>
      </c>
      <c r="N15" s="7" t="s">
        <v>1143</v>
      </c>
    </row>
    <row r="16" ht="14.25" spans="1:14">
      <c r="A16" s="1" t="s">
        <v>95</v>
      </c>
      <c r="B16" s="3" t="s">
        <v>466</v>
      </c>
      <c r="C16" s="3" t="s">
        <v>1396</v>
      </c>
      <c r="D16" s="1">
        <v>0.733</v>
      </c>
      <c r="E16" s="3" t="s">
        <v>1397</v>
      </c>
      <c r="F16" s="3" t="s">
        <v>1398</v>
      </c>
      <c r="G16" s="4">
        <v>9347</v>
      </c>
      <c r="H16" s="1">
        <v>78</v>
      </c>
      <c r="I16" s="5">
        <v>378.83</v>
      </c>
      <c r="J16">
        <f t="shared" si="0"/>
        <v>1.00733028419583</v>
      </c>
      <c r="K16" s="1">
        <v>68200</v>
      </c>
      <c r="L16" s="1">
        <v>68200</v>
      </c>
      <c r="M16" s="1">
        <v>356</v>
      </c>
      <c r="N16" s="7" t="s">
        <v>1399</v>
      </c>
    </row>
    <row r="17" ht="14.25" spans="1:14">
      <c r="A17" s="1" t="s">
        <v>101</v>
      </c>
      <c r="B17" s="3" t="s">
        <v>26</v>
      </c>
      <c r="C17" s="3" t="s">
        <v>580</v>
      </c>
      <c r="D17" s="1">
        <v>0.247</v>
      </c>
      <c r="E17" s="3" t="s">
        <v>1400</v>
      </c>
      <c r="F17" s="3" t="s">
        <v>1401</v>
      </c>
      <c r="G17" s="4">
        <v>21215</v>
      </c>
      <c r="H17" s="1">
        <v>289</v>
      </c>
      <c r="I17" s="5">
        <v>388.97</v>
      </c>
      <c r="J17">
        <f t="shared" si="0"/>
        <v>1.17808139081939</v>
      </c>
      <c r="K17" s="1">
        <v>86500</v>
      </c>
      <c r="L17" s="1">
        <v>86500</v>
      </c>
      <c r="M17" s="1">
        <v>278</v>
      </c>
      <c r="N17" s="7" t="s">
        <v>1402</v>
      </c>
    </row>
    <row r="18" ht="14.25" spans="1:14">
      <c r="A18" s="1" t="s">
        <v>107</v>
      </c>
      <c r="B18" s="3" t="s">
        <v>1023</v>
      </c>
      <c r="C18" s="3" t="s">
        <v>644</v>
      </c>
      <c r="D18" s="1">
        <v>0.127</v>
      </c>
      <c r="E18" s="3" t="s">
        <v>1403</v>
      </c>
      <c r="F18" s="3" t="s">
        <v>1404</v>
      </c>
      <c r="G18" s="4">
        <v>14239</v>
      </c>
      <c r="H18" s="1">
        <v>110</v>
      </c>
      <c r="I18" s="5">
        <v>382.15</v>
      </c>
      <c r="J18">
        <f t="shared" si="0"/>
        <v>1.22474312069269</v>
      </c>
      <c r="K18" s="1">
        <v>63400</v>
      </c>
      <c r="L18" s="1">
        <v>63400</v>
      </c>
      <c r="M18" s="1">
        <v>178</v>
      </c>
      <c r="N18" s="7" t="s">
        <v>1405</v>
      </c>
    </row>
    <row r="19" ht="14.25" spans="1:14">
      <c r="A19" s="1" t="s">
        <v>113</v>
      </c>
      <c r="B19" s="3" t="s">
        <v>881</v>
      </c>
      <c r="C19" s="3" t="s">
        <v>1077</v>
      </c>
      <c r="D19" s="1">
        <v>0.195</v>
      </c>
      <c r="E19" s="3" t="s">
        <v>1406</v>
      </c>
      <c r="F19" s="3" t="s">
        <v>1407</v>
      </c>
      <c r="G19" s="4">
        <v>13105</v>
      </c>
      <c r="H19" s="1">
        <v>155</v>
      </c>
      <c r="I19" s="5">
        <v>400.12</v>
      </c>
      <c r="J19">
        <f t="shared" si="0"/>
        <v>1.07427828117441</v>
      </c>
      <c r="K19" s="1">
        <v>90100</v>
      </c>
      <c r="L19" s="1">
        <v>90100</v>
      </c>
      <c r="M19" s="1">
        <v>235</v>
      </c>
      <c r="N19" s="7" t="s">
        <v>1408</v>
      </c>
    </row>
    <row r="20" ht="14.25" spans="1:14">
      <c r="A20" s="1" t="s">
        <v>119</v>
      </c>
      <c r="B20" s="3" t="s">
        <v>147</v>
      </c>
      <c r="C20" s="3" t="s">
        <v>1136</v>
      </c>
      <c r="D20" s="1">
        <v>0.437</v>
      </c>
      <c r="E20" s="3" t="s">
        <v>1409</v>
      </c>
      <c r="F20" s="3" t="s">
        <v>1410</v>
      </c>
      <c r="G20" s="4">
        <v>12356</v>
      </c>
      <c r="H20" s="1">
        <v>145</v>
      </c>
      <c r="I20" s="5">
        <v>371.89</v>
      </c>
      <c r="J20">
        <f t="shared" si="0"/>
        <v>1.12494326519811</v>
      </c>
      <c r="K20" s="1">
        <v>71500</v>
      </c>
      <c r="L20" s="1">
        <v>71500</v>
      </c>
      <c r="M20" s="1">
        <v>189</v>
      </c>
      <c r="N20" s="7" t="s">
        <v>1411</v>
      </c>
    </row>
    <row r="21" ht="14.25" spans="1:14">
      <c r="A21" s="1" t="s">
        <v>125</v>
      </c>
      <c r="B21" s="3" t="s">
        <v>881</v>
      </c>
      <c r="C21" s="3" t="s">
        <v>1086</v>
      </c>
      <c r="D21" s="1">
        <v>0.352</v>
      </c>
      <c r="E21" s="3" t="s">
        <v>1412</v>
      </c>
      <c r="F21" s="3" t="s">
        <v>1413</v>
      </c>
      <c r="G21" s="4">
        <v>35104</v>
      </c>
      <c r="H21" s="1">
        <v>832</v>
      </c>
      <c r="I21" s="5">
        <v>415.78</v>
      </c>
      <c r="J21">
        <f t="shared" si="0"/>
        <v>1.31187450386195</v>
      </c>
      <c r="K21" s="1">
        <v>121600</v>
      </c>
      <c r="L21" s="1">
        <v>121600</v>
      </c>
      <c r="M21" s="1">
        <v>115</v>
      </c>
      <c r="N21" s="7" t="s">
        <v>1414</v>
      </c>
    </row>
    <row r="22" ht="14.25" spans="1:14">
      <c r="A22" s="1" t="s">
        <v>130</v>
      </c>
      <c r="B22" s="3" t="s">
        <v>218</v>
      </c>
      <c r="C22" s="3" t="s">
        <v>650</v>
      </c>
      <c r="D22" s="1">
        <v>0.366</v>
      </c>
      <c r="E22" s="3" t="s">
        <v>1415</v>
      </c>
      <c r="F22" s="3" t="s">
        <v>1416</v>
      </c>
      <c r="G22" s="4">
        <v>8724</v>
      </c>
      <c r="H22" s="1">
        <v>49</v>
      </c>
      <c r="I22" s="5">
        <v>364.72</v>
      </c>
      <c r="J22">
        <f t="shared" si="0"/>
        <v>0.899811343933368</v>
      </c>
      <c r="K22" s="1">
        <v>52500</v>
      </c>
      <c r="L22" s="1">
        <v>52500</v>
      </c>
      <c r="M22" s="1">
        <v>98</v>
      </c>
      <c r="N22" s="7" t="s">
        <v>980</v>
      </c>
    </row>
    <row r="23" ht="14.25" spans="1:14">
      <c r="A23" s="1" t="s">
        <v>135</v>
      </c>
      <c r="B23" s="3" t="s">
        <v>1417</v>
      </c>
      <c r="C23" s="3" t="s">
        <v>1418</v>
      </c>
      <c r="D23" s="1">
        <v>0.613</v>
      </c>
      <c r="E23" s="3" t="s">
        <v>1419</v>
      </c>
      <c r="F23" s="3" t="s">
        <v>1420</v>
      </c>
      <c r="G23" s="4">
        <v>3528</v>
      </c>
      <c r="H23" s="1">
        <v>36</v>
      </c>
      <c r="I23" s="5">
        <v>382.66</v>
      </c>
      <c r="J23">
        <f t="shared" si="0"/>
        <v>1.11102314635312</v>
      </c>
      <c r="K23" s="1">
        <v>73300</v>
      </c>
      <c r="L23" s="1">
        <v>73300</v>
      </c>
      <c r="M23" s="1">
        <v>86</v>
      </c>
      <c r="N23" s="7" t="s">
        <v>1421</v>
      </c>
    </row>
    <row r="24" ht="14.25" spans="1:14">
      <c r="A24" s="1" t="s">
        <v>141</v>
      </c>
      <c r="B24" s="3" t="s">
        <v>881</v>
      </c>
      <c r="C24" s="3" t="s">
        <v>482</v>
      </c>
      <c r="D24" s="1">
        <v>0.721</v>
      </c>
      <c r="E24" s="3" t="s">
        <v>1422</v>
      </c>
      <c r="F24" s="3" t="s">
        <v>1423</v>
      </c>
      <c r="G24" s="4">
        <v>10689</v>
      </c>
      <c r="H24" s="1">
        <v>79</v>
      </c>
      <c r="I24" s="5">
        <v>384.19</v>
      </c>
      <c r="J24">
        <f t="shared" si="0"/>
        <v>0.990316249795962</v>
      </c>
      <c r="K24" s="1">
        <v>96700</v>
      </c>
      <c r="L24" s="1">
        <v>96700</v>
      </c>
      <c r="M24" s="1">
        <v>68</v>
      </c>
      <c r="N24" s="7" t="s">
        <v>1424</v>
      </c>
    </row>
    <row r="25" ht="14.25" spans="1:14">
      <c r="A25" s="1" t="s">
        <v>146</v>
      </c>
      <c r="B25" s="3" t="s">
        <v>817</v>
      </c>
      <c r="C25" s="3" t="s">
        <v>1425</v>
      </c>
      <c r="D25" s="1">
        <v>0.267</v>
      </c>
      <c r="E25" s="3" t="s">
        <v>1426</v>
      </c>
      <c r="F25" s="3" t="s">
        <v>1427</v>
      </c>
      <c r="G25" s="4">
        <v>17608</v>
      </c>
      <c r="H25" s="1">
        <v>170</v>
      </c>
      <c r="I25" s="5">
        <v>372.98</v>
      </c>
      <c r="J25">
        <f t="shared" si="0"/>
        <v>1.21056171002295</v>
      </c>
      <c r="K25" s="1">
        <v>67700</v>
      </c>
      <c r="L25" s="1">
        <v>67700</v>
      </c>
      <c r="M25" s="1">
        <v>49</v>
      </c>
      <c r="N25" s="7" t="s">
        <v>1428</v>
      </c>
    </row>
    <row r="26" ht="14.25" spans="1:14">
      <c r="A26" s="1" t="s">
        <v>152</v>
      </c>
      <c r="B26" s="3" t="s">
        <v>356</v>
      </c>
      <c r="C26" s="3" t="s">
        <v>227</v>
      </c>
      <c r="D26" s="1">
        <v>0.164</v>
      </c>
      <c r="E26" s="3" t="s">
        <v>1429</v>
      </c>
      <c r="F26" s="3" t="s">
        <v>1430</v>
      </c>
      <c r="G26" s="4">
        <v>7598</v>
      </c>
      <c r="H26" s="1">
        <v>35</v>
      </c>
      <c r="I26" s="5">
        <v>350.17</v>
      </c>
      <c r="J26">
        <f t="shared" si="0"/>
        <v>0.815561180763775</v>
      </c>
      <c r="K26" s="1">
        <v>53800</v>
      </c>
      <c r="L26" s="1">
        <v>53800</v>
      </c>
      <c r="M26" s="1">
        <v>52</v>
      </c>
      <c r="N26" s="7" t="s">
        <v>1431</v>
      </c>
    </row>
    <row r="27" ht="14.25" spans="1:14">
      <c r="A27" s="1" t="s">
        <v>158</v>
      </c>
      <c r="B27" s="3" t="s">
        <v>345</v>
      </c>
      <c r="C27" s="3" t="s">
        <v>227</v>
      </c>
      <c r="D27" s="1">
        <v>0.129</v>
      </c>
      <c r="E27" s="3" t="s">
        <v>1432</v>
      </c>
      <c r="F27" s="3" t="s">
        <v>1433</v>
      </c>
      <c r="G27" s="4">
        <v>7951</v>
      </c>
      <c r="H27" s="1">
        <v>44</v>
      </c>
      <c r="I27" s="5">
        <v>356.88</v>
      </c>
      <c r="J27">
        <f t="shared" si="0"/>
        <v>0.927323567483351</v>
      </c>
      <c r="K27" s="1">
        <v>58500</v>
      </c>
      <c r="L27" s="1">
        <v>58500</v>
      </c>
      <c r="M27" s="1">
        <v>48</v>
      </c>
      <c r="N27" s="7" t="s">
        <v>1434</v>
      </c>
    </row>
    <row r="28" ht="14.25" spans="1:14">
      <c r="A28" s="1" t="s">
        <v>164</v>
      </c>
      <c r="B28" s="3" t="s">
        <v>930</v>
      </c>
      <c r="C28" s="3" t="s">
        <v>1435</v>
      </c>
      <c r="D28" s="1">
        <v>0</v>
      </c>
      <c r="E28" s="3" t="s">
        <v>1436</v>
      </c>
      <c r="F28" s="3" t="s">
        <v>1437</v>
      </c>
      <c r="G28" s="4">
        <v>1017</v>
      </c>
      <c r="H28" s="1">
        <v>22</v>
      </c>
      <c r="I28" s="5">
        <v>351.09</v>
      </c>
      <c r="J28">
        <f t="shared" si="0"/>
        <v>1.17444155402973</v>
      </c>
      <c r="K28" s="1">
        <v>64300</v>
      </c>
      <c r="L28" s="1">
        <v>64300</v>
      </c>
      <c r="M28" s="1">
        <v>34</v>
      </c>
      <c r="N28" s="7" t="s">
        <v>1438</v>
      </c>
    </row>
    <row r="29" ht="14.25" spans="1:14">
      <c r="A29" s="1" t="s">
        <v>170</v>
      </c>
      <c r="B29" s="3" t="s">
        <v>881</v>
      </c>
      <c r="C29" s="3" t="s">
        <v>1439</v>
      </c>
      <c r="D29" s="1">
        <v>0.203</v>
      </c>
      <c r="E29" s="3" t="s">
        <v>1440</v>
      </c>
      <c r="F29" s="3" t="s">
        <v>1441</v>
      </c>
      <c r="G29" s="4">
        <v>9712</v>
      </c>
      <c r="H29" s="1">
        <v>70</v>
      </c>
      <c r="I29" s="5">
        <v>383.07</v>
      </c>
      <c r="J29">
        <f t="shared" si="0"/>
        <v>1.26803600867368</v>
      </c>
      <c r="K29" s="1">
        <v>82900</v>
      </c>
      <c r="L29" s="1">
        <v>82900</v>
      </c>
      <c r="M29" s="1">
        <v>36</v>
      </c>
      <c r="N29" s="7" t="s">
        <v>1153</v>
      </c>
    </row>
    <row r="30" ht="14.25" spans="1:14">
      <c r="A30" s="1" t="s">
        <v>175</v>
      </c>
      <c r="B30" s="3" t="s">
        <v>699</v>
      </c>
      <c r="C30" s="3" t="s">
        <v>1023</v>
      </c>
      <c r="D30" s="1">
        <v>0.081</v>
      </c>
      <c r="E30" s="3" t="s">
        <v>1442</v>
      </c>
      <c r="F30" s="3" t="s">
        <v>1443</v>
      </c>
      <c r="G30" s="4">
        <v>4362</v>
      </c>
      <c r="H30" s="1">
        <v>34</v>
      </c>
      <c r="I30" s="5">
        <v>350.08</v>
      </c>
      <c r="J30">
        <f t="shared" si="0"/>
        <v>0.98056581776934</v>
      </c>
      <c r="K30" s="1">
        <v>41600</v>
      </c>
      <c r="L30" s="1">
        <v>41600</v>
      </c>
      <c r="M30" s="1">
        <v>35</v>
      </c>
      <c r="N30" s="7" t="s">
        <v>1444</v>
      </c>
    </row>
    <row r="31" ht="14.25" spans="1:14">
      <c r="A31" s="1" t="s">
        <v>180</v>
      </c>
      <c r="B31" s="3" t="s">
        <v>227</v>
      </c>
      <c r="C31" s="3" t="s">
        <v>336</v>
      </c>
      <c r="D31" s="1">
        <v>0.01</v>
      </c>
      <c r="E31" s="3" t="s">
        <v>1445</v>
      </c>
      <c r="F31" s="3" t="s">
        <v>1446</v>
      </c>
      <c r="G31" s="4">
        <v>-395</v>
      </c>
      <c r="H31" s="1">
        <v>14</v>
      </c>
      <c r="I31" s="5">
        <v>338.97</v>
      </c>
      <c r="J31">
        <f t="shared" si="0"/>
        <v>1.07579226395813</v>
      </c>
      <c r="K31" s="1">
        <v>60700</v>
      </c>
      <c r="L31" s="1">
        <v>60700</v>
      </c>
      <c r="M31" s="1">
        <v>18</v>
      </c>
      <c r="N31" s="7" t="s">
        <v>1447</v>
      </c>
    </row>
    <row r="32" ht="14.25" spans="1:14">
      <c r="A32" s="1" t="s">
        <v>186</v>
      </c>
      <c r="B32" s="3" t="s">
        <v>497</v>
      </c>
      <c r="C32" s="3"/>
      <c r="D32" s="1">
        <v>0.002</v>
      </c>
      <c r="E32" s="3" t="s">
        <v>1448</v>
      </c>
      <c r="F32" s="3" t="s">
        <v>1449</v>
      </c>
      <c r="G32" s="4">
        <v>2241</v>
      </c>
      <c r="H32" s="1">
        <v>17</v>
      </c>
      <c r="I32" s="5">
        <v>353.11</v>
      </c>
      <c r="J32">
        <f t="shared" si="0"/>
        <v>0.945948025017559</v>
      </c>
      <c r="K32" s="1">
        <v>75200</v>
      </c>
      <c r="L32" s="1">
        <v>75200</v>
      </c>
      <c r="M32" s="1">
        <v>15</v>
      </c>
      <c r="N32" s="7" t="s">
        <v>1450</v>
      </c>
    </row>
    <row r="33" ht="14.25" spans="1:14">
      <c r="A33" s="1" t="s">
        <v>191</v>
      </c>
      <c r="B33" s="3" t="s">
        <v>817</v>
      </c>
      <c r="C33" s="3" t="s">
        <v>1451</v>
      </c>
      <c r="D33" s="1">
        <v>0.003</v>
      </c>
      <c r="E33" s="3" t="s">
        <v>1452</v>
      </c>
      <c r="F33" s="3" t="s">
        <v>1453</v>
      </c>
      <c r="G33" s="4">
        <v>4781</v>
      </c>
      <c r="H33" s="1">
        <v>65</v>
      </c>
      <c r="I33" s="5">
        <v>350.77</v>
      </c>
      <c r="J33">
        <f t="shared" si="0"/>
        <v>1.10700491525783</v>
      </c>
      <c r="K33" s="1">
        <v>75300</v>
      </c>
      <c r="L33" s="1">
        <v>75300</v>
      </c>
      <c r="M33" s="1">
        <v>8</v>
      </c>
      <c r="N33" s="7" t="s">
        <v>1012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张静雪</dc:creator>
  <cp:lastModifiedBy>雪</cp:lastModifiedBy>
  <dcterms:created xsi:type="dcterms:W3CDTF">2023-05-12T11:15:00Z</dcterms:created>
  <dcterms:modified xsi:type="dcterms:W3CDTF">2026-04-16T07:28:16Z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B1E9776AA6604DE3AE40564C11E66416_12</vt:lpwstr>
  </property>
  <property fmtid="{D5CDD505-2E9C-101B-9397-08002B2CF9AE}" pid="4" name="CalculationRule">
    <vt:i4>0</vt:i4>
  </property>
</Properties>
</file>